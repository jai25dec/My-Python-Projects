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SOL Resume Projects\"/>
    </mc:Choice>
  </mc:AlternateContent>
  <xr:revisionPtr revIDLastSave="0" documentId="13_ncr:1_{CDEE6774-7B74-4DDD-8E2B-C713DCF40618}" xr6:coauthVersionLast="47" xr6:coauthVersionMax="47" xr10:uidLastSave="{00000000-0000-0000-0000-000000000000}"/>
  <bookViews>
    <workbookView xWindow="-108" yWindow="-108" windowWidth="23256" windowHeight="12456" activeTab="4" xr2:uid="{DC9A17CF-142C-4CBB-A254-D6D0F5312691}"/>
  </bookViews>
  <sheets>
    <sheet name="Raw_Emission_Data" sheetId="1" r:id="rId1"/>
    <sheet name="Raw_Operational_Data" sheetId="2" r:id="rId2"/>
    <sheet name="Raw_Supplier_Data" sheetId="3" r:id="rId3"/>
    <sheet name="Benchmarks" sheetId="4" r:id="rId4"/>
    <sheet name="Clean_Data" sheetId="5" r:id="rId5"/>
    <sheet name="Pivot Tables" sheetId="10" r:id="rId6"/>
    <sheet name="Dashboard" sheetId="11" r:id="rId7"/>
  </sheets>
  <definedNames>
    <definedName name="Slicer_Facility_Name">#N/A</definedName>
    <definedName name="Slicer_QUARTER">#N/A</definedName>
    <definedName name="Slicer_Year">#N/A</definedName>
  </definedNames>
  <calcPr calcId="191029"/>
  <pivotCaches>
    <pivotCache cacheId="7" r:id="rId8"/>
    <pivotCache cacheId="11" r:id="rId9"/>
    <pivotCache cacheId="2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11" l="1"/>
  <c r="W15" i="11"/>
  <c r="J2" i="5"/>
  <c r="I2" i="5"/>
  <c r="I3" i="5"/>
  <c r="I4" i="5"/>
  <c r="I5" i="5"/>
  <c r="I6" i="5"/>
  <c r="I7" i="5"/>
  <c r="I8" i="5"/>
  <c r="I9" i="5"/>
  <c r="I10" i="5"/>
  <c r="I11" i="5"/>
  <c r="I12" i="5"/>
  <c r="I13" i="5"/>
  <c r="I14" i="5"/>
  <c r="I15" i="5"/>
  <c r="I16" i="5"/>
  <c r="I17" i="5"/>
  <c r="I18" i="5"/>
  <c r="I19" i="5"/>
  <c r="I20" i="5"/>
  <c r="I21" i="5"/>
  <c r="H2" i="5"/>
  <c r="H3" i="5"/>
  <c r="H4" i="5"/>
  <c r="H5" i="5"/>
  <c r="H6" i="5"/>
  <c r="H7" i="5"/>
  <c r="H8" i="5"/>
  <c r="H9" i="5"/>
  <c r="H10" i="5"/>
  <c r="H11" i="5"/>
  <c r="H12" i="5"/>
  <c r="H13" i="5"/>
  <c r="H14" i="5"/>
  <c r="H15" i="5"/>
  <c r="H16" i="5"/>
  <c r="H17" i="5"/>
  <c r="H18" i="5"/>
  <c r="H19" i="5"/>
  <c r="H20" i="5"/>
  <c r="H21" i="5"/>
  <c r="J6" i="5"/>
  <c r="G3" i="5"/>
  <c r="G4" i="5"/>
  <c r="G5" i="5"/>
  <c r="G6" i="5"/>
  <c r="G7" i="5"/>
  <c r="G8" i="5"/>
  <c r="G9" i="5"/>
  <c r="G10" i="5"/>
  <c r="G11" i="5"/>
  <c r="G12" i="5"/>
  <c r="G13" i="5"/>
  <c r="G14" i="5"/>
  <c r="G15" i="5"/>
  <c r="G16" i="5"/>
  <c r="G17" i="5"/>
  <c r="G18" i="5"/>
  <c r="G19" i="5"/>
  <c r="G20" i="5"/>
  <c r="G21" i="5"/>
  <c r="G2" i="5"/>
  <c r="L15" i="11" s="1"/>
  <c r="J13" i="5" l="1"/>
  <c r="J7" i="5"/>
  <c r="J21" i="5"/>
  <c r="J5" i="5"/>
  <c r="J20" i="5"/>
  <c r="J4" i="5"/>
  <c r="J19" i="5"/>
  <c r="J18" i="5"/>
  <c r="J15" i="5"/>
  <c r="J14" i="5"/>
  <c r="J12" i="5"/>
  <c r="J11" i="5"/>
  <c r="J3" i="5"/>
  <c r="J17" i="5"/>
  <c r="J16" i="5"/>
  <c r="J10" i="5"/>
  <c r="J8" i="5"/>
  <c r="J9" i="5"/>
  <c r="R15" i="11"/>
  <c r="D15" i="11"/>
</calcChain>
</file>

<file path=xl/sharedStrings.xml><?xml version="1.0" encoding="utf-8"?>
<sst xmlns="http://schemas.openxmlformats.org/spreadsheetml/2006/main" count="10723" uniqueCount="456">
  <si>
    <t>Facility ID</t>
  </si>
  <si>
    <t>Facility Name</t>
  </si>
  <si>
    <t>Reporting Period</t>
  </si>
  <si>
    <t>Scope</t>
  </si>
  <si>
    <t>GHG Type</t>
  </si>
  <si>
    <t>Emissions (tons)</t>
  </si>
  <si>
    <t>F088</t>
  </si>
  <si>
    <t>JSW Energy</t>
  </si>
  <si>
    <t>2022 Q1</t>
  </si>
  <si>
    <t>Scope 3</t>
  </si>
  <si>
    <t>CH₄</t>
  </si>
  <si>
    <t>F021</t>
  </si>
  <si>
    <t>L&amp;T</t>
  </si>
  <si>
    <t>2022 Q2</t>
  </si>
  <si>
    <t>Scope 1</t>
  </si>
  <si>
    <t>CO₂</t>
  </si>
  <si>
    <t>F107</t>
  </si>
  <si>
    <t>Reliance Industries</t>
  </si>
  <si>
    <t>F106</t>
  </si>
  <si>
    <t>Tata Steel</t>
  </si>
  <si>
    <t>F090</t>
  </si>
  <si>
    <t>F158</t>
  </si>
  <si>
    <t>F023</t>
  </si>
  <si>
    <t>2023 Q2</t>
  </si>
  <si>
    <t>N₂O</t>
  </si>
  <si>
    <t>F153</t>
  </si>
  <si>
    <t>F079</t>
  </si>
  <si>
    <t>F065</t>
  </si>
  <si>
    <t>Scope 2</t>
  </si>
  <si>
    <t>F025</t>
  </si>
  <si>
    <t>Adani Green</t>
  </si>
  <si>
    <t>F104</t>
  </si>
  <si>
    <t>F137</t>
  </si>
  <si>
    <t>F101</t>
  </si>
  <si>
    <t>2023 Q1</t>
  </si>
  <si>
    <t>F194</t>
  </si>
  <si>
    <t>F057</t>
  </si>
  <si>
    <t>F017</t>
  </si>
  <si>
    <t>F120</t>
  </si>
  <si>
    <t>F139</t>
  </si>
  <si>
    <t>F166</t>
  </si>
  <si>
    <t>F005</t>
  </si>
  <si>
    <t>F060</t>
  </si>
  <si>
    <t>F133</t>
  </si>
  <si>
    <t>F134</t>
  </si>
  <si>
    <t>F030</t>
  </si>
  <si>
    <t>F091</t>
  </si>
  <si>
    <t>F002</t>
  </si>
  <si>
    <t>F121</t>
  </si>
  <si>
    <t>F008</t>
  </si>
  <si>
    <t>F198</t>
  </si>
  <si>
    <t>F087</t>
  </si>
  <si>
    <t>F175</t>
  </si>
  <si>
    <t>F100</t>
  </si>
  <si>
    <t>F042</t>
  </si>
  <si>
    <t>F173</t>
  </si>
  <si>
    <t>F012</t>
  </si>
  <si>
    <t>F182</t>
  </si>
  <si>
    <t>F026</t>
  </si>
  <si>
    <t>F093</t>
  </si>
  <si>
    <t>F074</t>
  </si>
  <si>
    <t>F024</t>
  </si>
  <si>
    <t>F103</t>
  </si>
  <si>
    <t>F032</t>
  </si>
  <si>
    <t>F077</t>
  </si>
  <si>
    <t>F056</t>
  </si>
  <si>
    <t>F172</t>
  </si>
  <si>
    <t>F190</t>
  </si>
  <si>
    <t>F097</t>
  </si>
  <si>
    <t>F045</t>
  </si>
  <si>
    <t>F181</t>
  </si>
  <si>
    <t>F019</t>
  </si>
  <si>
    <t>F115</t>
  </si>
  <si>
    <t>F086</t>
  </si>
  <si>
    <t>F162</t>
  </si>
  <si>
    <t>F084</t>
  </si>
  <si>
    <t>F197</t>
  </si>
  <si>
    <t>F186</t>
  </si>
  <si>
    <t>F191</t>
  </si>
  <si>
    <t>F039</t>
  </si>
  <si>
    <t>F126</t>
  </si>
  <si>
    <t>F044</t>
  </si>
  <si>
    <t>F016</t>
  </si>
  <si>
    <t>F059</t>
  </si>
  <si>
    <t>F196</t>
  </si>
  <si>
    <t>F063</t>
  </si>
  <si>
    <t>F135</t>
  </si>
  <si>
    <t>F193</t>
  </si>
  <si>
    <t>F068</t>
  </si>
  <si>
    <t>F161</t>
  </si>
  <si>
    <t>F037</t>
  </si>
  <si>
    <t>F022</t>
  </si>
  <si>
    <t>F176</t>
  </si>
  <si>
    <t>F071</t>
  </si>
  <si>
    <t>F048</t>
  </si>
  <si>
    <t>F027</t>
  </si>
  <si>
    <t>F036</t>
  </si>
  <si>
    <t>F078</t>
  </si>
  <si>
    <t>F073</t>
  </si>
  <si>
    <t>F127</t>
  </si>
  <si>
    <t>F082</t>
  </si>
  <si>
    <t>F108</t>
  </si>
  <si>
    <t>F031</t>
  </si>
  <si>
    <t>F054</t>
  </si>
  <si>
    <t>F144</t>
  </si>
  <si>
    <t>F046</t>
  </si>
  <si>
    <t>F061</t>
  </si>
  <si>
    <t>F018</t>
  </si>
  <si>
    <t>F184</t>
  </si>
  <si>
    <t>F041</t>
  </si>
  <si>
    <t>F064</t>
  </si>
  <si>
    <t>F124</t>
  </si>
  <si>
    <t>F131</t>
  </si>
  <si>
    <t>F152</t>
  </si>
  <si>
    <t>F085</t>
  </si>
  <si>
    <t>F099</t>
  </si>
  <si>
    <t>F128</t>
  </si>
  <si>
    <t>F199</t>
  </si>
  <si>
    <t>F145</t>
  </si>
  <si>
    <t>F015</t>
  </si>
  <si>
    <t>F092</t>
  </si>
  <si>
    <t>F089</t>
  </si>
  <si>
    <t>F174</t>
  </si>
  <si>
    <t>F028</t>
  </si>
  <si>
    <t>F148</t>
  </si>
  <si>
    <t>F053</t>
  </si>
  <si>
    <t>F007</t>
  </si>
  <si>
    <t>F014</t>
  </si>
  <si>
    <t>F143</t>
  </si>
  <si>
    <t>F072</t>
  </si>
  <si>
    <t>F125</t>
  </si>
  <si>
    <t>F167</t>
  </si>
  <si>
    <t>F183</t>
  </si>
  <si>
    <t>F116</t>
  </si>
  <si>
    <t>F047</t>
  </si>
  <si>
    <t>F081</t>
  </si>
  <si>
    <t>F070</t>
  </si>
  <si>
    <t>F062</t>
  </si>
  <si>
    <t>F114</t>
  </si>
  <si>
    <t>F050</t>
  </si>
  <si>
    <t>F156</t>
  </si>
  <si>
    <t>F009</t>
  </si>
  <si>
    <t>F155</t>
  </si>
  <si>
    <t>F083</t>
  </si>
  <si>
    <t>F006</t>
  </si>
  <si>
    <t>F164</t>
  </si>
  <si>
    <t>F118</t>
  </si>
  <si>
    <t>F168</t>
  </si>
  <si>
    <t>F169</t>
  </si>
  <si>
    <t>F095</t>
  </si>
  <si>
    <t>F171</t>
  </si>
  <si>
    <t>F149</t>
  </si>
  <si>
    <t>F192</t>
  </si>
  <si>
    <t>F096</t>
  </si>
  <si>
    <t>F195</t>
  </si>
  <si>
    <t>F159</t>
  </si>
  <si>
    <t>F151</t>
  </si>
  <si>
    <t>F132</t>
  </si>
  <si>
    <t>F069</t>
  </si>
  <si>
    <t>F033</t>
  </si>
  <si>
    <t>F038</t>
  </si>
  <si>
    <t>F157</t>
  </si>
  <si>
    <t>F140</t>
  </si>
  <si>
    <t>F177</t>
  </si>
  <si>
    <t>F113</t>
  </si>
  <si>
    <t>F010</t>
  </si>
  <si>
    <t>F109</t>
  </si>
  <si>
    <t>F034</t>
  </si>
  <si>
    <t>F055</t>
  </si>
  <si>
    <t>F102</t>
  </si>
  <si>
    <t>F001</t>
  </si>
  <si>
    <t>F170</t>
  </si>
  <si>
    <t>F185</t>
  </si>
  <si>
    <t>F122</t>
  </si>
  <si>
    <t>F052</t>
  </si>
  <si>
    <t>F004</t>
  </si>
  <si>
    <t>F111</t>
  </si>
  <si>
    <t>F154</t>
  </si>
  <si>
    <t>F112</t>
  </si>
  <si>
    <t>F138</t>
  </si>
  <si>
    <t>F011</t>
  </si>
  <si>
    <t>F098</t>
  </si>
  <si>
    <t>F200</t>
  </si>
  <si>
    <t>F043</t>
  </si>
  <si>
    <t>F066</t>
  </si>
  <si>
    <t>F035</t>
  </si>
  <si>
    <t>F110</t>
  </si>
  <si>
    <t>F178</t>
  </si>
  <si>
    <t>F075</t>
  </si>
  <si>
    <t>F003</t>
  </si>
  <si>
    <t>F076</t>
  </si>
  <si>
    <t>F136</t>
  </si>
  <si>
    <t>F130</t>
  </si>
  <si>
    <t>F147</t>
  </si>
  <si>
    <t>F020</t>
  </si>
  <si>
    <t>F142</t>
  </si>
  <si>
    <t>F029</t>
  </si>
  <si>
    <t>F051</t>
  </si>
  <si>
    <t>F123</t>
  </si>
  <si>
    <t>F187</t>
  </si>
  <si>
    <t>F150</t>
  </si>
  <si>
    <t>F129</t>
  </si>
  <si>
    <t>F067</t>
  </si>
  <si>
    <t>F058</t>
  </si>
  <si>
    <t>F160</t>
  </si>
  <si>
    <t>F117</t>
  </si>
  <si>
    <t>F080</t>
  </si>
  <si>
    <t>F146</t>
  </si>
  <si>
    <t>F094</t>
  </si>
  <si>
    <t>F040</t>
  </si>
  <si>
    <t>F049</t>
  </si>
  <si>
    <t>F105</t>
  </si>
  <si>
    <t>F189</t>
  </si>
  <si>
    <t>F141</t>
  </si>
  <si>
    <t>F165</t>
  </si>
  <si>
    <t>F013</t>
  </si>
  <si>
    <t>F180</t>
  </si>
  <si>
    <t>F188</t>
  </si>
  <si>
    <t>F119</t>
  </si>
  <si>
    <t>F179</t>
  </si>
  <si>
    <t>F163</t>
  </si>
  <si>
    <t>Production Volume (units)</t>
  </si>
  <si>
    <t>Energy Consumption (MWh)</t>
  </si>
  <si>
    <t>Waste (tons)</t>
  </si>
  <si>
    <t>Supplier ID</t>
  </si>
  <si>
    <t>Estimated Carbon Footprint (tons CO₂e)</t>
  </si>
  <si>
    <t>Income Distribution (%)</t>
  </si>
  <si>
    <t>S001</t>
  </si>
  <si>
    <t>{'F090': 38.84, 'F082': 36.92, 'F147': 24.24}</t>
  </si>
  <si>
    <t>S002</t>
  </si>
  <si>
    <t>{'F143': 13.88, 'F082': 10.02, 'F057': 15.92, 'F150': 35.92, 'F056': 24.26}</t>
  </si>
  <si>
    <t>S003</t>
  </si>
  <si>
    <t>{'F172': 36.89, 'F176': 32.29, 'F027': 10.84, 'F163': 19.98}</t>
  </si>
  <si>
    <t>S004</t>
  </si>
  <si>
    <t>{'F157': 8.17, 'F100': 20.93, 'F136': 32.18, 'F132': 30.1, 'F067': 8.62}</t>
  </si>
  <si>
    <t>S005</t>
  </si>
  <si>
    <t>{'F092': 9.83, 'F200': 44.17, 'F072': 36.04, 'F173': 9.96}</t>
  </si>
  <si>
    <t>S006</t>
  </si>
  <si>
    <t>{'F023': 12.77, 'F192': 15.07, 'F189': 15.94, 'F169': 27.44, 'F118': 28.78}</t>
  </si>
  <si>
    <t>S007</t>
  </si>
  <si>
    <t>{'F145': 7.14, 'F170': 26.48, 'F022': 28.45, 'F015': 9.9, 'F151': 28.03}</t>
  </si>
  <si>
    <t>S008</t>
  </si>
  <si>
    <t>{'F002': 29.15, 'F104': 26.58, 'F059': 14.23, 'F066': 30.04}</t>
  </si>
  <si>
    <t>S009</t>
  </si>
  <si>
    <t>{'F154': 18.01, 'F109': 27.42, 'F044': 23.14, 'F193': 31.43}</t>
  </si>
  <si>
    <t>S010</t>
  </si>
  <si>
    <t>{'F084': 16.93, 'F027': 30.55, 'F198': 10.19, 'F040': 13.43, 'F101': 28.9}</t>
  </si>
  <si>
    <t>S011</t>
  </si>
  <si>
    <t>{'F151': 22.49, 'F179': 18.73, 'F103': 26.99, 'F171': 22.41, 'F180': 9.39}</t>
  </si>
  <si>
    <t>S012</t>
  </si>
  <si>
    <t>{'F013': 42.1, 'F111': 17.04, 'F054': 40.86}</t>
  </si>
  <si>
    <t>S013</t>
  </si>
  <si>
    <t>{'F145': 46.85, 'F034': 53.15}</t>
  </si>
  <si>
    <t>S014</t>
  </si>
  <si>
    <t>{'F151': 67.87, 'F141': 32.13}</t>
  </si>
  <si>
    <t>S015</t>
  </si>
  <si>
    <t>{'F091': 11.71, 'F088': 28.19, 'F193': 29.84, 'F072': 30.26}</t>
  </si>
  <si>
    <t>S016</t>
  </si>
  <si>
    <t>{'F130': 14.96, 'F106': 27.81, 'F153': 21.2, 'F084': 23.39, 'F133': 12.64}</t>
  </si>
  <si>
    <t>S017</t>
  </si>
  <si>
    <t>{'F095': 19.31, 'F079': 80.69}</t>
  </si>
  <si>
    <t>S018</t>
  </si>
  <si>
    <t>{'F058': 22.42, 'F043': 24.91, 'F182': 34.14, 'F143': 9.5, 'F022': 9.02}</t>
  </si>
  <si>
    <t>S019</t>
  </si>
  <si>
    <t>{'F012': 23.81, 'F026': 28.62, 'F029': 29.71, 'F037': 10.31, 'F083': 7.54}</t>
  </si>
  <si>
    <t>S020</t>
  </si>
  <si>
    <t>{'F118': 44.31, 'F161': 55.69}</t>
  </si>
  <si>
    <t>S021</t>
  </si>
  <si>
    <t>{'F101': 11.07, 'F036': 29.01, 'F125': 13.24, 'F117': 23.44, 'F106': 23.25}</t>
  </si>
  <si>
    <t>S022</t>
  </si>
  <si>
    <t>{'F029': 33.61, 'F084': 38.23, 'F002': 28.16}</t>
  </si>
  <si>
    <t>S023</t>
  </si>
  <si>
    <t>{'F184': 21.4, 'F001': 23.33, 'F161': 14.33, 'F126': 13.32, 'F053': 27.62}</t>
  </si>
  <si>
    <t>S024</t>
  </si>
  <si>
    <t>{'F161': 24.01, 'F094': 19.42, 'F162': 19.04, 'F024': 9.95, 'F146': 27.59}</t>
  </si>
  <si>
    <t>S025</t>
  </si>
  <si>
    <t>{'F055': 19.26, 'F178': 11.3, 'F136': 32.17, 'F062': 37.27}</t>
  </si>
  <si>
    <t>S026</t>
  </si>
  <si>
    <t>{'F156': 62.75, 'F112': 37.25}</t>
  </si>
  <si>
    <t>S027</t>
  </si>
  <si>
    <t>{'F164': 58.54, 'F150': 41.46}</t>
  </si>
  <si>
    <t>S028</t>
  </si>
  <si>
    <t>{'F084': 60.19, 'F108': 39.81}</t>
  </si>
  <si>
    <t>S029</t>
  </si>
  <si>
    <t>{'F066': 19.84, 'F126': 33.2, 'F176': 46.96}</t>
  </si>
  <si>
    <t>S030</t>
  </si>
  <si>
    <t>{'F189': 35.35, 'F128': 46.68, 'F025': 17.97}</t>
  </si>
  <si>
    <t>S031</t>
  </si>
  <si>
    <t>{'F104': 11.07, 'F142': 30.4, 'F143': 20.63, 'F100': 37.91}</t>
  </si>
  <si>
    <t>S032</t>
  </si>
  <si>
    <t>{'F148': 36.23, 'F033': 43.18, 'F170': 20.59}</t>
  </si>
  <si>
    <t>S033</t>
  </si>
  <si>
    <t>{'F200': 33.06, 'F115': 6.78, 'F076': 14.81, 'F198': 27.48, 'F096': 17.87}</t>
  </si>
  <si>
    <t>S034</t>
  </si>
  <si>
    <t>{'F055': 15.41, 'F025': 32.74, 'F185': 18.88, 'F138': 32.97}</t>
  </si>
  <si>
    <t>S035</t>
  </si>
  <si>
    <t>{'F143': 28.17, 'F020': 13.64, 'F037': 17.22, 'F098': 19.7, 'F184': 21.26}</t>
  </si>
  <si>
    <t>S036</t>
  </si>
  <si>
    <t>{'F163': 32.96, 'F018': 67.04}</t>
  </si>
  <si>
    <t>S037</t>
  </si>
  <si>
    <t>{'F051': 9.87, 'F163': 27.0, 'F021': 26.24, 'F097': 23.67, 'F151': 13.22}</t>
  </si>
  <si>
    <t>S038</t>
  </si>
  <si>
    <t>{'F138': 39.52, 'F070': 60.48}</t>
  </si>
  <si>
    <t>S039</t>
  </si>
  <si>
    <t>{'F041': 33.59, 'F134': 66.41}</t>
  </si>
  <si>
    <t>S040</t>
  </si>
  <si>
    <t>{'F167': 31.74, 'F197': 25.24, 'F198': 27.82, 'F065': 15.2}</t>
  </si>
  <si>
    <t>S041</t>
  </si>
  <si>
    <t>{'F051': 24.97, 'F125': 25.14, 'F122': 19.55, 'F134': 6.31, 'F178': 24.04}</t>
  </si>
  <si>
    <t>S042</t>
  </si>
  <si>
    <t>{'F080': 32.97, 'F033': 20.68, 'F024': 23.15, 'F012': 23.2}</t>
  </si>
  <si>
    <t>S043</t>
  </si>
  <si>
    <t>{'F094': 25.79, 'F100': 11.14, 'F051': 31.48, 'F158': 31.59}</t>
  </si>
  <si>
    <t>S044</t>
  </si>
  <si>
    <t>{'F050': 19.65, 'F186': 8.84, 'F104': 17.42, 'F089': 22.92, 'F128': 31.16}</t>
  </si>
  <si>
    <t>S045</t>
  </si>
  <si>
    <t>{'F080': 57.09, 'F199': 15.41, 'F041': 12.64, 'F002': 14.86}</t>
  </si>
  <si>
    <t>S046</t>
  </si>
  <si>
    <t>{'F024': 19.9, 'F004': 34.93, 'F195': 28.6, 'F056': 16.57}</t>
  </si>
  <si>
    <t>S047</t>
  </si>
  <si>
    <t>{'F125': 21.87, 'F155': 25.39, 'F060': 13.07, 'F148': 39.67}</t>
  </si>
  <si>
    <t>S048</t>
  </si>
  <si>
    <t>{'F074': 30.01, 'F165': 13.62, 'F039': 39.55, 'F169': 16.82}</t>
  </si>
  <si>
    <t>S049</t>
  </si>
  <si>
    <t>{'F186': 33.66, 'F004': 66.34}</t>
  </si>
  <si>
    <t>S050</t>
  </si>
  <si>
    <t>{'F030': 13.54, 'F183': 17.78, 'F147': 44.31, 'F044': 24.38}</t>
  </si>
  <si>
    <t>S051</t>
  </si>
  <si>
    <t>{'F140': 44.97, 'F119': 55.03}</t>
  </si>
  <si>
    <t>S052</t>
  </si>
  <si>
    <t>{'F167': 31.32, 'F052': 29.26, 'F029': 39.42}</t>
  </si>
  <si>
    <t>S053</t>
  </si>
  <si>
    <t>{'F124': 47.12, 'F161': 19.58, 'F120': 33.3}</t>
  </si>
  <si>
    <t>S054</t>
  </si>
  <si>
    <t>{'F014': 18.03, 'F183': 9.16, 'F051': 18.07, 'F089': 33.34, 'F050': 21.4}</t>
  </si>
  <si>
    <t>S055</t>
  </si>
  <si>
    <t>{'F112': 73.95, 'F091': 26.05}</t>
  </si>
  <si>
    <t>S056</t>
  </si>
  <si>
    <t>{'F189': 22.01, 'F027': 7.66, 'F105': 24.87, 'F032': 30.98, 'F095': 14.47}</t>
  </si>
  <si>
    <t>S057</t>
  </si>
  <si>
    <t>{'F099': 35.29, 'F122': 32.43, 'F186': 32.28}</t>
  </si>
  <si>
    <t>S058</t>
  </si>
  <si>
    <t>{'F068': 19.36, 'F033': 26.07, 'F161': 8.35, 'F045': 31.8, 'F036': 14.41}</t>
  </si>
  <si>
    <t>S059</t>
  </si>
  <si>
    <t>{'F039': 25.32, 'F179': 9.99, 'F184': 26.86, 'F175': 20.62, 'F025': 17.22}</t>
  </si>
  <si>
    <t>S060</t>
  </si>
  <si>
    <t>{'F062': 29.66, 'F071': 26.09, 'F107': 28.72, 'F013': 15.53}</t>
  </si>
  <si>
    <t>S061</t>
  </si>
  <si>
    <t>{'F188': 21.98, 'F177': 24.69, 'F063': 35.04, 'F154': 18.28}</t>
  </si>
  <si>
    <t>S062</t>
  </si>
  <si>
    <t>{'F161': 15.67, 'F130': 34.01, 'F094': 18.19, 'F124': 32.13}</t>
  </si>
  <si>
    <t>S063</t>
  </si>
  <si>
    <t>{'F101': 29.18, 'F044': 32.23, 'F150': 11.71, 'F002': 17.03, 'F124': 9.85}</t>
  </si>
  <si>
    <t>S064</t>
  </si>
  <si>
    <t>{'F031': 20.66, 'F186': 32.19, 'F057': 10.36, 'F181': 36.79}</t>
  </si>
  <si>
    <t>S065</t>
  </si>
  <si>
    <t>{'F134': 21.43, 'F065': 39.29, 'F005': 39.28}</t>
  </si>
  <si>
    <t>S066</t>
  </si>
  <si>
    <t>{'F166': 24.84, 'F121': 29.53, 'F143': 45.63}</t>
  </si>
  <si>
    <t>S067</t>
  </si>
  <si>
    <t>{'F072': 16.1, 'F089': 19.68, 'F200': 20.28, 'F111': 22.97, 'F151': 20.97}</t>
  </si>
  <si>
    <t>S068</t>
  </si>
  <si>
    <t>{'F027': 47.73, 'F153': 17.92, 'F196': 34.35}</t>
  </si>
  <si>
    <t>S069</t>
  </si>
  <si>
    <t>{'F185': 31.87, 'F027': 68.13}</t>
  </si>
  <si>
    <t>S070</t>
  </si>
  <si>
    <t>{'F034': 61.93, 'F170': 19.52, 'F107': 18.55}</t>
  </si>
  <si>
    <t>S071</t>
  </si>
  <si>
    <t>{'F107': 28.46, 'F010': 9.08, 'F042': 13.78, 'F071': 34.7, 'F067': 13.98}</t>
  </si>
  <si>
    <t>S072</t>
  </si>
  <si>
    <t>{'F198': 53.73, 'F114': 46.27}</t>
  </si>
  <si>
    <t>S073</t>
  </si>
  <si>
    <t>{'F194': 70.54, 'F086': 29.46}</t>
  </si>
  <si>
    <t>S074</t>
  </si>
  <si>
    <t>{'F183': 77.36, 'F138': 22.64}</t>
  </si>
  <si>
    <t>S075</t>
  </si>
  <si>
    <t>{'F079': 45.19, 'F113': 54.81}</t>
  </si>
  <si>
    <t>S076</t>
  </si>
  <si>
    <t>{'F019': 15.85, 'F012': 11.34, 'F090': 20.86, 'F160': 23.26, 'F159': 28.69}</t>
  </si>
  <si>
    <t>S077</t>
  </si>
  <si>
    <t>{'F196': 30.85, 'F117': 23.15, 'F026': 17.99, 'F054': 28.0}</t>
  </si>
  <si>
    <t>S078</t>
  </si>
  <si>
    <t>{'F123': 48.25, 'F161': 51.75}</t>
  </si>
  <si>
    <t>S079</t>
  </si>
  <si>
    <t>{'F096': 25.58, 'F027': 9.34, 'F056': 31.8, 'F042': 7.05, 'F119': 26.23}</t>
  </si>
  <si>
    <t>S080</t>
  </si>
  <si>
    <t>{'F120': 33.7, 'F084': 20.44, 'F196': 20.3, 'F195': 25.56}</t>
  </si>
  <si>
    <t>S081</t>
  </si>
  <si>
    <t>{'F124': 54.56, 'F189': 45.44}</t>
  </si>
  <si>
    <t>S082</t>
  </si>
  <si>
    <t>{'F017': 39.29, 'F103': 60.71}</t>
  </si>
  <si>
    <t>S083</t>
  </si>
  <si>
    <t>{'F012': 20.92, 'F129': 52.46, 'F198': 26.62}</t>
  </si>
  <si>
    <t>S084</t>
  </si>
  <si>
    <t>{'F095': 20.84, 'F167': 23.43, 'F105': 10.45, 'F172': 24.36, 'F177': 20.91}</t>
  </si>
  <si>
    <t>S085</t>
  </si>
  <si>
    <t>{'F063': 28.89, 'F187': 31.34, 'F099': 29.13, 'F110': 10.65}</t>
  </si>
  <si>
    <t>S086</t>
  </si>
  <si>
    <t>{'F146': 13.38, 'F009': 33.94, 'F094': 52.68}</t>
  </si>
  <si>
    <t>S087</t>
  </si>
  <si>
    <t>{'F155': 19.93, 'F082': 22.18, 'F100': 21.75, 'F076': 19.28, 'F199': 16.86}</t>
  </si>
  <si>
    <t>S088</t>
  </si>
  <si>
    <t>{'F145': 32.64, 'F047': 67.36}</t>
  </si>
  <si>
    <t>S089</t>
  </si>
  <si>
    <t>{'F171': 23.38, 'F152': 15.81, 'F087': 16.02, 'F160': 21.25, 'F135': 23.54}</t>
  </si>
  <si>
    <t>S090</t>
  </si>
  <si>
    <t>{'F113': 43.98, 'F019': 56.02}</t>
  </si>
  <si>
    <t>S091</t>
  </si>
  <si>
    <t>{'F131': 28.42, 'F186': 35.64, 'F139': 35.95}</t>
  </si>
  <si>
    <t>S092</t>
  </si>
  <si>
    <t>{'F120': 37.46, 'F041': 19.39, 'F126': 23.21, 'F082': 19.95}</t>
  </si>
  <si>
    <t>S093</t>
  </si>
  <si>
    <t>{'F048': 35.39, 'F147': 25.3, 'F100': 21.04, 'F174': 18.28}</t>
  </si>
  <si>
    <t>S094</t>
  </si>
  <si>
    <t>{'F140': 47.31, 'F050': 13.98, 'F119': 16.52, 'F118': 22.19}</t>
  </si>
  <si>
    <t>S095</t>
  </si>
  <si>
    <t>{'F146': 25.22, 'F001': 26.48, 'F134': 33.71, 'F023': 14.58}</t>
  </si>
  <si>
    <t>S096</t>
  </si>
  <si>
    <t>{'F130': 43.29, 'F105': 56.71}</t>
  </si>
  <si>
    <t>S097</t>
  </si>
  <si>
    <t>{'F156': 20.53, 'F113': 21.38, 'F071': 21.21, 'F026': 24.05, 'F158': 12.82}</t>
  </si>
  <si>
    <t>S098</t>
  </si>
  <si>
    <t>{'F184': 20.76, 'F168': 13.98, 'F147': 9.57, 'F034': 23.8, 'F104': 31.9}</t>
  </si>
  <si>
    <t>S099</t>
  </si>
  <si>
    <t>{'F018': 49.4, 'F096': 50.6}</t>
  </si>
  <si>
    <t>S100</t>
  </si>
  <si>
    <t>{'F184': 52.13, 'F170': 47.87}</t>
  </si>
  <si>
    <t>Benchmark</t>
  </si>
  <si>
    <t>Value</t>
  </si>
  <si>
    <t>Description</t>
  </si>
  <si>
    <t>GHG Reduction Target</t>
  </si>
  <si>
    <t>25% reduction</t>
  </si>
  <si>
    <t>Company must reduce overall GHG emissions by 25% over the next 5 years.</t>
  </si>
  <si>
    <t>Net Zero Milestone</t>
  </si>
  <si>
    <t>Target year to achieve net zero emissions.</t>
  </si>
  <si>
    <t>Emission Reporting Standard</t>
  </si>
  <si>
    <t>GHG Protocol</t>
  </si>
  <si>
    <t>All emissions must be reported according to the GHG Protocol guidelines.</t>
  </si>
  <si>
    <t>Year</t>
  </si>
  <si>
    <t>QUARTER</t>
  </si>
  <si>
    <t>Row Labels</t>
  </si>
  <si>
    <t>Grand Total</t>
  </si>
  <si>
    <t>2022</t>
  </si>
  <si>
    <t>2023</t>
  </si>
  <si>
    <t>Q1</t>
  </si>
  <si>
    <t>Q2</t>
  </si>
  <si>
    <t>Total Emissions</t>
  </si>
  <si>
    <t>Sum of Total Emissions</t>
  </si>
  <si>
    <t>Sum of CH₄</t>
  </si>
  <si>
    <t>Sum of CO₂</t>
  </si>
  <si>
    <t>Sum of N₂O</t>
  </si>
  <si>
    <t>Energy Consumption</t>
  </si>
  <si>
    <t>Production Volume</t>
  </si>
  <si>
    <t>Energy Efficiency</t>
  </si>
  <si>
    <t>Sum of Energy Efficiency</t>
  </si>
  <si>
    <t>Sum of Estimated Carbon Footprint (tons CO₂e)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</si>
</sst>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Aptos Narrow"/>
      <family val="2"/>
      <scheme val="minor"/>
    </font>
    <font>
      <sz val="11"/>
      <color theme="1"/>
      <name val="Calibri"/>
      <family val="2"/>
    </font>
    <font>
      <b/>
      <sz val="16"/>
      <color theme="2" tint="-0.89999084444715716"/>
      <name val="Calibri"/>
      <family val="2"/>
    </font>
    <font>
      <b/>
      <sz val="11"/>
      <color theme="2" tint="-0.89999084444715716"/>
      <name val="Calibri"/>
      <family val="2"/>
    </font>
    <font>
      <b/>
      <sz val="16"/>
      <color theme="1" tint="4.9989318521683403E-2"/>
      <name val="Calibri"/>
      <family val="2"/>
    </font>
    <font>
      <b/>
      <sz val="11"/>
      <color theme="3"/>
      <name val="Aptos Narrow"/>
      <family val="2"/>
      <scheme val="minor"/>
    </font>
    <font>
      <sz val="8"/>
      <name val="Aptos Narrow"/>
      <family val="2"/>
      <scheme val="minor"/>
    </font>
    <font>
      <sz val="11"/>
      <color theme="1"/>
      <name val="Aptos Narrow"/>
      <family val="2"/>
      <scheme val="minor"/>
    </font>
    <font>
      <b/>
      <sz val="18"/>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EFEFEF"/>
        <bgColor indexed="64"/>
      </patternFill>
    </fill>
    <fill>
      <patternFill patternType="solid">
        <fgColor theme="2" tint="-9.9978637043366805E-2"/>
        <bgColor indexed="64"/>
      </patternFill>
    </fill>
  </fills>
  <borders count="12">
    <border>
      <left/>
      <right/>
      <top/>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
      <left/>
      <right/>
      <top/>
      <bottom style="medium">
        <color theme="4" tint="0.39997558519241921"/>
      </bottom>
      <diagonal/>
    </border>
    <border>
      <left/>
      <right/>
      <top/>
      <bottom style="thin">
        <color indexed="64"/>
      </bottom>
      <diagonal/>
    </border>
  </borders>
  <cellStyleXfs count="2">
    <xf numFmtId="0" fontId="0" fillId="0" borderId="0"/>
    <xf numFmtId="43" fontId="7" fillId="0" borderId="0" applyFont="0" applyFill="0" applyBorder="0" applyAlignment="0" applyProtection="0"/>
  </cellStyleXfs>
  <cellXfs count="52">
    <xf numFmtId="0" fontId="0" fillId="0" borderId="0" xfId="0"/>
    <xf numFmtId="0" fontId="1" fillId="0" borderId="1" xfId="0" applyFont="1" applyBorder="1" applyAlignment="1">
      <alignment horizont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1" fillId="0" borderId="1" xfId="0" applyFont="1" applyBorder="1" applyAlignment="1">
      <alignment horizontal="left" vertical="center" wrapText="1" indent="1"/>
    </xf>
    <xf numFmtId="0" fontId="1" fillId="0" borderId="2"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7" xfId="0" applyFont="1" applyBorder="1" applyAlignment="1">
      <alignment horizontal="left" vertical="center" wrapText="1" indent="1"/>
    </xf>
    <xf numFmtId="0" fontId="1" fillId="0" borderId="8" xfId="0" applyFont="1" applyBorder="1" applyAlignment="1">
      <alignment horizontal="left" vertical="center" wrapText="1" indent="1"/>
    </xf>
    <xf numFmtId="0" fontId="1" fillId="0" borderId="9" xfId="0" applyFont="1" applyBorder="1" applyAlignment="1">
      <alignment horizontal="left" vertical="center" wrapText="1" indent="1"/>
    </xf>
    <xf numFmtId="0" fontId="3" fillId="2" borderId="4" xfId="0" applyFont="1" applyFill="1" applyBorder="1" applyAlignment="1">
      <alignment horizontal="left" vertical="center" wrapText="1" indent="1"/>
    </xf>
    <xf numFmtId="0" fontId="3" fillId="2" borderId="5" xfId="0" applyFont="1" applyFill="1" applyBorder="1" applyAlignment="1">
      <alignment horizontal="left" vertical="center" wrapText="1" indent="1"/>
    </xf>
    <xf numFmtId="0" fontId="3" fillId="2" borderId="6" xfId="0" applyFont="1" applyFill="1" applyBorder="1" applyAlignment="1">
      <alignment horizontal="left" vertical="center" wrapText="1" indent="1"/>
    </xf>
    <xf numFmtId="0" fontId="4" fillId="3" borderId="4" xfId="0" applyFont="1" applyFill="1" applyBorder="1" applyAlignment="1">
      <alignment vertical="center" wrapText="1"/>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0" fillId="0" borderId="0" xfId="0"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5" fillId="0" borderId="10" xfId="0" applyFont="1" applyBorder="1" applyAlignment="1">
      <alignment horizontal="center"/>
    </xf>
    <xf numFmtId="0" fontId="5" fillId="0" borderId="10" xfId="0" applyFont="1" applyBorder="1" applyAlignment="1">
      <alignment horizontal="left"/>
    </xf>
    <xf numFmtId="0" fontId="5" fillId="0" borderId="10" xfId="0" applyFont="1" applyBorder="1"/>
    <xf numFmtId="0" fontId="5" fillId="0" borderId="10" xfId="0" applyFont="1" applyBorder="1" applyAlignment="1">
      <alignment horizontal="left" indent="1"/>
    </xf>
    <xf numFmtId="0" fontId="8" fillId="0" borderId="0" xfId="0" applyFont="1" applyAlignment="1">
      <alignment vertical="center"/>
    </xf>
    <xf numFmtId="0" fontId="8" fillId="0" borderId="0" xfId="0" applyFont="1"/>
    <xf numFmtId="0" fontId="0" fillId="0" borderId="0" xfId="0" applyAlignment="1">
      <alignment horizontal="center" vertical="center"/>
    </xf>
    <xf numFmtId="0" fontId="8" fillId="0" borderId="0" xfId="0" applyFont="1" applyAlignment="1">
      <alignment horizontal="center"/>
    </xf>
    <xf numFmtId="43" fontId="8" fillId="0" borderId="0" xfId="1" applyFont="1" applyAlignment="1">
      <alignment horizontal="center" vertical="center"/>
    </xf>
    <xf numFmtId="43" fontId="8" fillId="0" borderId="0" xfId="1" applyFont="1" applyAlignment="1">
      <alignment horizontal="center"/>
    </xf>
    <xf numFmtId="0" fontId="0" fillId="0" borderId="0" xfId="0" applyNumberFormat="1"/>
    <xf numFmtId="0" fontId="5" fillId="0" borderId="10" xfId="0" applyNumberFormat="1" applyFont="1" applyBorder="1"/>
    <xf numFmtId="0" fontId="9" fillId="0" borderId="0" xfId="0" pivotButton="1" applyFont="1" applyBorder="1" applyAlignment="1">
      <alignment horizontal="center"/>
    </xf>
    <xf numFmtId="0" fontId="9" fillId="0" borderId="0" xfId="0" applyFont="1" applyBorder="1" applyAlignment="1">
      <alignment horizontal="center"/>
    </xf>
    <xf numFmtId="0" fontId="9" fillId="0" borderId="0" xfId="0" applyNumberFormat="1" applyFont="1" applyBorder="1" applyAlignment="1">
      <alignment horizontal="center"/>
    </xf>
    <xf numFmtId="0" fontId="9" fillId="0" borderId="11" xfId="0" applyFont="1" applyBorder="1" applyAlignment="1">
      <alignment horizontal="center"/>
    </xf>
    <xf numFmtId="0" fontId="9" fillId="0" borderId="11" xfId="0" applyNumberFormat="1" applyFont="1" applyBorder="1" applyAlignment="1">
      <alignment horizontal="center"/>
    </xf>
  </cellXfs>
  <cellStyles count="2">
    <cellStyle name="Comma" xfId="1" builtinId="3"/>
    <cellStyle name="Normal" xfId="0" builtinId="0"/>
  </cellStyles>
  <dxfs count="92">
    <dxf>
      <font>
        <b/>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6"/>
        <color theme="2" tint="-0.89999084444715716"/>
        <name val="Calibri"/>
        <family val="2"/>
        <scheme val="none"/>
      </font>
      <fill>
        <patternFill patternType="solid">
          <fgColor indexed="64"/>
          <bgColor rgb="FFEFEFEF"/>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1"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1"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1"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1"/>
        <color theme="2" tint="-0.89999084444715716"/>
        <name val="Calibri"/>
        <family val="2"/>
        <scheme val="none"/>
      </font>
      <fill>
        <patternFill patternType="solid">
          <fgColor indexed="64"/>
          <bgColor rgb="FFEFEFEF"/>
        </patternFill>
      </fill>
      <alignment horizontal="left" vertical="center" textRotation="0" wrapText="1" indent="1"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border outline="0">
        <bottom style="medium">
          <color rgb="FF000000"/>
        </bottom>
      </border>
    </dxf>
    <dxf>
      <font>
        <b/>
        <i val="0"/>
        <strike val="0"/>
        <condense val="0"/>
        <extend val="0"/>
        <outline val="0"/>
        <shadow val="0"/>
        <u val="none"/>
        <vertAlign val="baseline"/>
        <sz val="16"/>
        <color theme="2" tint="-0.89999084444715716"/>
        <name val="Calibri"/>
        <family val="2"/>
        <scheme val="none"/>
      </font>
      <fill>
        <patternFill patternType="solid">
          <fgColor indexed="64"/>
          <bgColor rgb="FFEFEFE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border outline="0">
        <bottom style="medium">
          <color rgb="FF000000"/>
        </bottom>
      </border>
    </dxf>
    <dxf>
      <font>
        <b/>
        <i val="0"/>
        <strike val="0"/>
        <condense val="0"/>
        <extend val="0"/>
        <outline val="0"/>
        <shadow val="0"/>
        <u val="none"/>
        <vertAlign val="baseline"/>
        <sz val="16"/>
        <color theme="1" tint="4.9989318521683403E-2"/>
        <name val="Calibri"/>
        <family val="2"/>
        <scheme val="none"/>
      </font>
      <fill>
        <patternFill patternType="solid">
          <fgColor indexed="64"/>
          <bgColor theme="2" tint="-9.9978637043366805E-2"/>
        </patternFill>
      </fill>
      <alignment horizontal="general" vertical="center" textRotation="0" wrapText="1" indent="0" justifyLastLine="0" shrinkToFit="0" readingOrder="0"/>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font>
        <b/>
        <i val="0"/>
        <strike val="0"/>
        <condense val="0"/>
        <extend val="0"/>
        <outline val="0"/>
        <shadow val="0"/>
        <u val="none"/>
        <vertAlign val="baseline"/>
        <sz val="11"/>
        <color theme="3"/>
        <name val="Aptos Narrow"/>
        <family val="2"/>
        <scheme val="minor"/>
      </font>
      <border diagonalUp="0" diagonalDown="0" outline="0">
        <left/>
        <right/>
        <top/>
        <bottom style="medium">
          <color theme="4" tint="0.39997558519241921"/>
        </bottom>
      </border>
    </dxf>
    <dxf>
      <alignment vertical="bottom"/>
    </dxf>
    <dxf>
      <alignment vertical="bottom"/>
    </dxf>
    <dxf>
      <border>
        <bottom style="thin">
          <color indexed="64"/>
        </bottom>
      </border>
    </dxf>
    <dxf>
      <border>
        <bottom style="thin">
          <color indexed="64"/>
        </bottom>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[Jai_Kaushik_ESG_Assignment.xlsx]Pivot Tables!PivotTable6</c:name>
    <c:fmtId val="3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t>Emission Trend (2022–2023)</a:t>
            </a:r>
            <a:endParaRPr lang="en-IN"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Tables'!$A$2:$A$8</c:f>
              <c:multiLvlStrCache>
                <c:ptCount val="4"/>
                <c:lvl>
                  <c:pt idx="0">
                    <c:v>Q1</c:v>
                  </c:pt>
                  <c:pt idx="1">
                    <c:v>Q2</c:v>
                  </c:pt>
                  <c:pt idx="2">
                    <c:v>Q1</c:v>
                  </c:pt>
                  <c:pt idx="3">
                    <c:v>Q2</c:v>
                  </c:pt>
                </c:lvl>
                <c:lvl>
                  <c:pt idx="0">
                    <c:v>2022</c:v>
                  </c:pt>
                  <c:pt idx="2">
                    <c:v>2023</c:v>
                  </c:pt>
                </c:lvl>
              </c:multiLvlStrCache>
            </c:multiLvlStrRef>
          </c:cat>
          <c:val>
            <c:numRef>
              <c:f>'Pivot Tables'!$B$2:$B$8</c:f>
              <c:numCache>
                <c:formatCode>General</c:formatCode>
                <c:ptCount val="4"/>
                <c:pt idx="0">
                  <c:v>1256202.8636469</c:v>
                </c:pt>
                <c:pt idx="1">
                  <c:v>1357086.2778157999</c:v>
                </c:pt>
                <c:pt idx="2">
                  <c:v>1346028.9697205001</c:v>
                </c:pt>
                <c:pt idx="3">
                  <c:v>1257073.9556837999</c:v>
                </c:pt>
              </c:numCache>
            </c:numRef>
          </c:val>
          <c:smooth val="0"/>
          <c:extLst>
            <c:ext xmlns:c16="http://schemas.microsoft.com/office/drawing/2014/chart" uri="{C3380CC4-5D6E-409C-BE32-E72D297353CC}">
              <c16:uniqueId val="{00000000-8F05-42FC-8EF8-D123367DBF51}"/>
            </c:ext>
          </c:extLst>
        </c:ser>
        <c:dLbls>
          <c:dLblPos val="ctr"/>
          <c:showLegendKey val="0"/>
          <c:showVal val="1"/>
          <c:showCatName val="0"/>
          <c:showSerName val="0"/>
          <c:showPercent val="0"/>
          <c:showBubbleSize val="0"/>
        </c:dLbls>
        <c:marker val="1"/>
        <c:smooth val="0"/>
        <c:axId val="392433103"/>
        <c:axId val="331580655"/>
      </c:lineChart>
      <c:catAx>
        <c:axId val="39243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580655"/>
        <c:crosses val="autoZero"/>
        <c:auto val="1"/>
        <c:lblAlgn val="ctr"/>
        <c:lblOffset val="100"/>
        <c:noMultiLvlLbl val="0"/>
      </c:catAx>
      <c:valAx>
        <c:axId val="33158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[Jai_Kaushik_ESG_Assignment.xlsx]Pivot Tables!PivotTable7</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Emissions by Facility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Tables'!$A$12:$A$17</c:f>
              <c:strCache>
                <c:ptCount val="5"/>
                <c:pt idx="0">
                  <c:v>Adani Green</c:v>
                </c:pt>
                <c:pt idx="1">
                  <c:v>JSW Energy</c:v>
                </c:pt>
                <c:pt idx="2">
                  <c:v>L&amp;T</c:v>
                </c:pt>
                <c:pt idx="3">
                  <c:v>Reliance Industries</c:v>
                </c:pt>
                <c:pt idx="4">
                  <c:v>Tata Steel</c:v>
                </c:pt>
              </c:strCache>
            </c:strRef>
          </c:cat>
          <c:val>
            <c:numRef>
              <c:f>'Pivot Tables'!$B$12:$B$17</c:f>
              <c:numCache>
                <c:formatCode>General</c:formatCode>
                <c:ptCount val="5"/>
                <c:pt idx="0">
                  <c:v>1361113.3158292999</c:v>
                </c:pt>
                <c:pt idx="1">
                  <c:v>946514.48503820004</c:v>
                </c:pt>
                <c:pt idx="2">
                  <c:v>816074.60924589995</c:v>
                </c:pt>
                <c:pt idx="3">
                  <c:v>964689.58790670009</c:v>
                </c:pt>
                <c:pt idx="4">
                  <c:v>1128000.0688469</c:v>
                </c:pt>
              </c:numCache>
            </c:numRef>
          </c:val>
          <c:extLst>
            <c:ext xmlns:c16="http://schemas.microsoft.com/office/drawing/2014/chart" uri="{C3380CC4-5D6E-409C-BE32-E72D297353CC}">
              <c16:uniqueId val="{00000000-18DC-49F1-8F51-6F49285F7B0D}"/>
            </c:ext>
          </c:extLst>
        </c:ser>
        <c:dLbls>
          <c:showLegendKey val="0"/>
          <c:showVal val="0"/>
          <c:showCatName val="0"/>
          <c:showSerName val="0"/>
          <c:showPercent val="0"/>
          <c:showBubbleSize val="0"/>
        </c:dLbls>
        <c:gapWidth val="150"/>
        <c:axId val="416084623"/>
        <c:axId val="416085103"/>
      </c:barChart>
      <c:catAx>
        <c:axId val="416084623"/>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85103"/>
        <c:crosses val="autoZero"/>
        <c:auto val="1"/>
        <c:lblAlgn val="ctr"/>
        <c:lblOffset val="100"/>
        <c:noMultiLvlLbl val="0"/>
      </c:catAx>
      <c:valAx>
        <c:axId val="41608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[Jai_Kaushik_ESG_Assignment.xlsx]Pivot Tables!PivotTable8</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GHG Emissions Breakdown (CH4, CO2, N2O)</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Tables'!$B$20</c:f>
              <c:strCache>
                <c:ptCount val="1"/>
                <c:pt idx="0">
                  <c:v>Sum of CH₄</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Tables'!$A$21:$A$26</c:f>
              <c:strCache>
                <c:ptCount val="5"/>
                <c:pt idx="0">
                  <c:v>Adani Green</c:v>
                </c:pt>
                <c:pt idx="1">
                  <c:v>JSW Energy</c:v>
                </c:pt>
                <c:pt idx="2">
                  <c:v>L&amp;T</c:v>
                </c:pt>
                <c:pt idx="3">
                  <c:v>Reliance Industries</c:v>
                </c:pt>
                <c:pt idx="4">
                  <c:v>Tata Steel</c:v>
                </c:pt>
              </c:strCache>
            </c:strRef>
          </c:cat>
          <c:val>
            <c:numRef>
              <c:f>'Pivot Tables'!$B$21:$B$26</c:f>
              <c:numCache>
                <c:formatCode>General</c:formatCode>
                <c:ptCount val="5"/>
                <c:pt idx="0">
                  <c:v>409046.20701419999</c:v>
                </c:pt>
                <c:pt idx="1">
                  <c:v>317426.22044419998</c:v>
                </c:pt>
                <c:pt idx="2">
                  <c:v>292290.34241789998</c:v>
                </c:pt>
                <c:pt idx="3">
                  <c:v>302079.15931210003</c:v>
                </c:pt>
                <c:pt idx="4">
                  <c:v>389204.06101120007</c:v>
                </c:pt>
              </c:numCache>
            </c:numRef>
          </c:val>
          <c:extLst>
            <c:ext xmlns:c16="http://schemas.microsoft.com/office/drawing/2014/chart" uri="{C3380CC4-5D6E-409C-BE32-E72D297353CC}">
              <c16:uniqueId val="{00000000-F645-4857-9815-F01E5E012EE1}"/>
            </c:ext>
          </c:extLst>
        </c:ser>
        <c:ser>
          <c:idx val="1"/>
          <c:order val="1"/>
          <c:tx>
            <c:strRef>
              <c:f>'Pivot Tables'!$C$20</c:f>
              <c:strCache>
                <c:ptCount val="1"/>
                <c:pt idx="0">
                  <c:v>Sum of CO₂</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Tables'!$A$21:$A$26</c:f>
              <c:strCache>
                <c:ptCount val="5"/>
                <c:pt idx="0">
                  <c:v>Adani Green</c:v>
                </c:pt>
                <c:pt idx="1">
                  <c:v>JSW Energy</c:v>
                </c:pt>
                <c:pt idx="2">
                  <c:v>L&amp;T</c:v>
                </c:pt>
                <c:pt idx="3">
                  <c:v>Reliance Industries</c:v>
                </c:pt>
                <c:pt idx="4">
                  <c:v>Tata Steel</c:v>
                </c:pt>
              </c:strCache>
            </c:strRef>
          </c:cat>
          <c:val>
            <c:numRef>
              <c:f>'Pivot Tables'!$C$21:$C$26</c:f>
              <c:numCache>
                <c:formatCode>General</c:formatCode>
                <c:ptCount val="5"/>
                <c:pt idx="0">
                  <c:v>511555.97418989998</c:v>
                </c:pt>
                <c:pt idx="1">
                  <c:v>361846.7891919</c:v>
                </c:pt>
                <c:pt idx="2">
                  <c:v>232865.03747720001</c:v>
                </c:pt>
                <c:pt idx="3">
                  <c:v>311467.23013469996</c:v>
                </c:pt>
                <c:pt idx="4">
                  <c:v>378060.20447429997</c:v>
                </c:pt>
              </c:numCache>
            </c:numRef>
          </c:val>
          <c:extLst>
            <c:ext xmlns:c16="http://schemas.microsoft.com/office/drawing/2014/chart" uri="{C3380CC4-5D6E-409C-BE32-E72D297353CC}">
              <c16:uniqueId val="{00000001-F645-4857-9815-F01E5E012EE1}"/>
            </c:ext>
          </c:extLst>
        </c:ser>
        <c:ser>
          <c:idx val="2"/>
          <c:order val="2"/>
          <c:tx>
            <c:strRef>
              <c:f>'Pivot Tables'!$D$20</c:f>
              <c:strCache>
                <c:ptCount val="1"/>
                <c:pt idx="0">
                  <c:v>Sum of N₂O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Tables'!$A$21:$A$26</c:f>
              <c:strCache>
                <c:ptCount val="5"/>
                <c:pt idx="0">
                  <c:v>Adani Green</c:v>
                </c:pt>
                <c:pt idx="1">
                  <c:v>JSW Energy</c:v>
                </c:pt>
                <c:pt idx="2">
                  <c:v>L&amp;T</c:v>
                </c:pt>
                <c:pt idx="3">
                  <c:v>Reliance Industries</c:v>
                </c:pt>
                <c:pt idx="4">
                  <c:v>Tata Steel</c:v>
                </c:pt>
              </c:strCache>
            </c:strRef>
          </c:cat>
          <c:val>
            <c:numRef>
              <c:f>'Pivot Tables'!$D$21:$D$26</c:f>
              <c:numCache>
                <c:formatCode>General</c:formatCode>
                <c:ptCount val="5"/>
                <c:pt idx="0">
                  <c:v>440511.13462519995</c:v>
                </c:pt>
                <c:pt idx="1">
                  <c:v>267241.47540210001</c:v>
                </c:pt>
                <c:pt idx="2">
                  <c:v>290919.22935080004</c:v>
                </c:pt>
                <c:pt idx="3">
                  <c:v>351143.19845989998</c:v>
                </c:pt>
                <c:pt idx="4">
                  <c:v>360735.80336140003</c:v>
                </c:pt>
              </c:numCache>
            </c:numRef>
          </c:val>
          <c:extLst>
            <c:ext xmlns:c16="http://schemas.microsoft.com/office/drawing/2014/chart" uri="{C3380CC4-5D6E-409C-BE32-E72D297353CC}">
              <c16:uniqueId val="{00000002-F645-4857-9815-F01E5E012EE1}"/>
            </c:ext>
          </c:extLst>
        </c:ser>
        <c:dLbls>
          <c:showLegendKey val="0"/>
          <c:showVal val="0"/>
          <c:showCatName val="0"/>
          <c:showSerName val="0"/>
          <c:showPercent val="0"/>
          <c:showBubbleSize val="0"/>
        </c:dLbls>
        <c:gapWidth val="150"/>
        <c:shape val="box"/>
        <c:axId val="391955839"/>
        <c:axId val="391956319"/>
        <c:axId val="0"/>
      </c:bar3DChart>
      <c:catAx>
        <c:axId val="391955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6319"/>
        <c:crosses val="autoZero"/>
        <c:auto val="1"/>
        <c:lblAlgn val="ctr"/>
        <c:lblOffset val="100"/>
        <c:noMultiLvlLbl val="0"/>
      </c:catAx>
      <c:valAx>
        <c:axId val="39195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58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[Jai_Kaushik_ESG_Assignment.xlsx]Pivot Tables!PivotTable4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Energy Efficiency by Facility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Tables'!$E$1</c:f>
              <c:strCache>
                <c:ptCount val="1"/>
                <c:pt idx="0">
                  <c:v>Total</c:v>
                </c:pt>
              </c:strCache>
            </c:strRef>
          </c:tx>
          <c:spPr>
            <a:solidFill>
              <a:schemeClr val="accent1"/>
            </a:solidFill>
            <a:ln>
              <a:noFill/>
            </a:ln>
            <a:effectLst/>
            <a:sp3d/>
          </c:spPr>
          <c:invertIfNegative val="0"/>
          <c:cat>
            <c:strRef>
              <c:f>'Pivot Tables'!$D$2:$D$7</c:f>
              <c:strCache>
                <c:ptCount val="5"/>
                <c:pt idx="0">
                  <c:v>Adani Green</c:v>
                </c:pt>
                <c:pt idx="1">
                  <c:v>JSW Energy</c:v>
                </c:pt>
                <c:pt idx="2">
                  <c:v>L&amp;T</c:v>
                </c:pt>
                <c:pt idx="3">
                  <c:v>Reliance Industries</c:v>
                </c:pt>
                <c:pt idx="4">
                  <c:v>Tata Steel</c:v>
                </c:pt>
              </c:strCache>
            </c:strRef>
          </c:cat>
          <c:val>
            <c:numRef>
              <c:f>'Pivot Tables'!$E$2:$E$7</c:f>
              <c:numCache>
                <c:formatCode>General</c:formatCode>
                <c:ptCount val="5"/>
                <c:pt idx="0">
                  <c:v>30.813932622336811</c:v>
                </c:pt>
                <c:pt idx="1">
                  <c:v>38.282547212845543</c:v>
                </c:pt>
                <c:pt idx="2">
                  <c:v>25.344114011760738</c:v>
                </c:pt>
                <c:pt idx="3">
                  <c:v>33.028659039981129</c:v>
                </c:pt>
                <c:pt idx="4">
                  <c:v>89.460926895481876</c:v>
                </c:pt>
              </c:numCache>
            </c:numRef>
          </c:val>
          <c:extLst>
            <c:ext xmlns:c16="http://schemas.microsoft.com/office/drawing/2014/chart" uri="{C3380CC4-5D6E-409C-BE32-E72D297353CC}">
              <c16:uniqueId val="{00000000-0115-4976-831D-EABBC8DC7CED}"/>
            </c:ext>
          </c:extLst>
        </c:ser>
        <c:dLbls>
          <c:showLegendKey val="0"/>
          <c:showVal val="0"/>
          <c:showCatName val="0"/>
          <c:showSerName val="0"/>
          <c:showPercent val="0"/>
          <c:showBubbleSize val="0"/>
        </c:dLbls>
        <c:gapWidth val="150"/>
        <c:shape val="box"/>
        <c:axId val="626882560"/>
        <c:axId val="626886400"/>
        <c:axId val="596290400"/>
      </c:bar3DChart>
      <c:catAx>
        <c:axId val="62688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86400"/>
        <c:crosses val="autoZero"/>
        <c:auto val="1"/>
        <c:lblAlgn val="ctr"/>
        <c:lblOffset val="100"/>
        <c:noMultiLvlLbl val="0"/>
      </c:catAx>
      <c:valAx>
        <c:axId val="62688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82560"/>
        <c:crosses val="autoZero"/>
        <c:crossBetween val="between"/>
      </c:valAx>
      <c:serAx>
        <c:axId val="596290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864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[Jai_Kaushik_ESG_Assignment.xlsx]Pivot Tables!PivotTable12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Supplier Carbon Footprint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Tables'!$G$2:$G$12</c:f>
              <c:strCache>
                <c:ptCount val="10"/>
                <c:pt idx="0">
                  <c:v>S094</c:v>
                </c:pt>
                <c:pt idx="1">
                  <c:v>S093</c:v>
                </c:pt>
                <c:pt idx="2">
                  <c:v>S089</c:v>
                </c:pt>
                <c:pt idx="3">
                  <c:v>S085</c:v>
                </c:pt>
                <c:pt idx="4">
                  <c:v>S084</c:v>
                </c:pt>
                <c:pt idx="5">
                  <c:v>S053</c:v>
                </c:pt>
                <c:pt idx="6">
                  <c:v>S023</c:v>
                </c:pt>
                <c:pt idx="7">
                  <c:v>S012</c:v>
                </c:pt>
                <c:pt idx="8">
                  <c:v>S010</c:v>
                </c:pt>
                <c:pt idx="9">
                  <c:v>S001</c:v>
                </c:pt>
              </c:strCache>
            </c:strRef>
          </c:cat>
          <c:val>
            <c:numRef>
              <c:f>'Pivot Tables'!$H$2:$H$12</c:f>
              <c:numCache>
                <c:formatCode>General</c:formatCode>
                <c:ptCount val="10"/>
                <c:pt idx="0">
                  <c:v>962.92</c:v>
                </c:pt>
                <c:pt idx="1">
                  <c:v>991.36</c:v>
                </c:pt>
                <c:pt idx="2">
                  <c:v>943.59</c:v>
                </c:pt>
                <c:pt idx="3">
                  <c:v>960.4</c:v>
                </c:pt>
                <c:pt idx="4">
                  <c:v>958.01</c:v>
                </c:pt>
                <c:pt idx="5">
                  <c:v>951.35</c:v>
                </c:pt>
                <c:pt idx="6">
                  <c:v>991.03</c:v>
                </c:pt>
                <c:pt idx="7">
                  <c:v>986.62</c:v>
                </c:pt>
                <c:pt idx="8">
                  <c:v>932.3</c:v>
                </c:pt>
                <c:pt idx="9">
                  <c:v>959.2</c:v>
                </c:pt>
              </c:numCache>
            </c:numRef>
          </c:val>
          <c:extLst>
            <c:ext xmlns:c16="http://schemas.microsoft.com/office/drawing/2014/chart" uri="{C3380CC4-5D6E-409C-BE32-E72D297353CC}">
              <c16:uniqueId val="{00000000-9E4A-477E-9E60-1509F01DFB38}"/>
            </c:ext>
          </c:extLst>
        </c:ser>
        <c:dLbls>
          <c:showLegendKey val="0"/>
          <c:showVal val="0"/>
          <c:showCatName val="0"/>
          <c:showSerName val="0"/>
          <c:showPercent val="0"/>
          <c:showBubbleSize val="0"/>
        </c:dLbls>
        <c:gapWidth val="219"/>
        <c:overlap val="-27"/>
        <c:axId val="626889760"/>
        <c:axId val="626891680"/>
      </c:barChart>
      <c:catAx>
        <c:axId val="6268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91680"/>
        <c:crosses val="autoZero"/>
        <c:auto val="1"/>
        <c:lblAlgn val="ctr"/>
        <c:lblOffset val="100"/>
        <c:noMultiLvlLbl val="0"/>
      </c:catAx>
      <c:valAx>
        <c:axId val="62689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8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535880</xdr:colOff>
      <xdr:row>15</xdr:row>
      <xdr:rowOff>171183</xdr:rowOff>
    </xdr:from>
    <xdr:to>
      <xdr:col>15</xdr:col>
      <xdr:colOff>231080</xdr:colOff>
      <xdr:row>31</xdr:row>
      <xdr:rowOff>0</xdr:rowOff>
    </xdr:to>
    <xdr:graphicFrame macro="">
      <xdr:nvGraphicFramePr>
        <xdr:cNvPr id="3" name="Chart 2">
          <a:extLst>
            <a:ext uri="{FF2B5EF4-FFF2-40B4-BE49-F238E27FC236}">
              <a16:creationId xmlns:a16="http://schemas.microsoft.com/office/drawing/2014/main" id="{8633BDDD-7236-461D-AF4E-52BFB3501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361153</xdr:colOff>
      <xdr:row>15</xdr:row>
      <xdr:rowOff>167462</xdr:rowOff>
    </xdr:from>
    <xdr:to>
      <xdr:col>19</xdr:col>
      <xdr:colOff>233561</xdr:colOff>
      <xdr:row>30</xdr:row>
      <xdr:rowOff>167462</xdr:rowOff>
    </xdr:to>
    <xdr:graphicFrame macro="">
      <xdr:nvGraphicFramePr>
        <xdr:cNvPr id="4" name="Chart 3">
          <a:extLst>
            <a:ext uri="{FF2B5EF4-FFF2-40B4-BE49-F238E27FC236}">
              <a16:creationId xmlns:a16="http://schemas.microsoft.com/office/drawing/2014/main" id="{E2D445E0-BCC3-4640-8C69-D14DCF423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15</xdr:row>
      <xdr:rowOff>177564</xdr:rowOff>
    </xdr:from>
    <xdr:to>
      <xdr:col>7</xdr:col>
      <xdr:colOff>396240</xdr:colOff>
      <xdr:row>30</xdr:row>
      <xdr:rowOff>177564</xdr:rowOff>
    </xdr:to>
    <xdr:graphicFrame macro="">
      <xdr:nvGraphicFramePr>
        <xdr:cNvPr id="6" name="Chart 5">
          <a:extLst>
            <a:ext uri="{FF2B5EF4-FFF2-40B4-BE49-F238E27FC236}">
              <a16:creationId xmlns:a16="http://schemas.microsoft.com/office/drawing/2014/main" id="{012B145B-223C-4317-9C04-630BFC966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0</xdr:row>
      <xdr:rowOff>22860</xdr:rowOff>
    </xdr:from>
    <xdr:to>
      <xdr:col>3</xdr:col>
      <xdr:colOff>7620</xdr:colOff>
      <xdr:row>4</xdr:row>
      <xdr:rowOff>124223</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A277AB8A-412D-4D22-8961-61E01B91E9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 y="22860"/>
              <a:ext cx="1834116" cy="960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0</xdr:row>
      <xdr:rowOff>1</xdr:rowOff>
    </xdr:from>
    <xdr:to>
      <xdr:col>3</xdr:col>
      <xdr:colOff>1834117</xdr:colOff>
      <xdr:row>4</xdr:row>
      <xdr:rowOff>108985</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CA35FBE7-AE5E-4475-9734-F98D75121F5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834116" y="1"/>
              <a:ext cx="1834117" cy="96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1848116</xdr:colOff>
      <xdr:row>0</xdr:row>
      <xdr:rowOff>0</xdr:rowOff>
    </xdr:from>
    <xdr:to>
      <xdr:col>6</xdr:col>
      <xdr:colOff>536767</xdr:colOff>
      <xdr:row>8</xdr:row>
      <xdr:rowOff>169943</xdr:rowOff>
    </xdr:to>
    <mc:AlternateContent xmlns:mc="http://schemas.openxmlformats.org/markup-compatibility/2006">
      <mc:Choice xmlns:a14="http://schemas.microsoft.com/office/drawing/2010/main" Requires="a14">
        <xdr:graphicFrame macro="">
          <xdr:nvGraphicFramePr>
            <xdr:cNvPr id="11" name="Facility Name">
              <a:extLst>
                <a:ext uri="{FF2B5EF4-FFF2-40B4-BE49-F238E27FC236}">
                  <a16:creationId xmlns:a16="http://schemas.microsoft.com/office/drawing/2014/main" id="{91988FB6-3935-40A7-910A-FF70D298F08D}"/>
                </a:ext>
              </a:extLst>
            </xdr:cNvPr>
            <xdr:cNvGraphicFramePr/>
          </xdr:nvGraphicFramePr>
          <xdr:xfrm>
            <a:off x="0" y="0"/>
            <a:ext cx="0" cy="0"/>
          </xdr:xfrm>
          <a:graphic>
            <a:graphicData uri="http://schemas.microsoft.com/office/drawing/2010/slicer">
              <sle:slicer xmlns:sle="http://schemas.microsoft.com/office/drawing/2010/slicer" name="Facility Name"/>
            </a:graphicData>
          </a:graphic>
        </xdr:graphicFrame>
      </mc:Choice>
      <mc:Fallback>
        <xdr:sp macro="" textlink="">
          <xdr:nvSpPr>
            <xdr:cNvPr id="0" name=""/>
            <xdr:cNvSpPr>
              <a:spLocks noTextEdit="1"/>
            </xdr:cNvSpPr>
          </xdr:nvSpPr>
          <xdr:spPr>
            <a:xfrm>
              <a:off x="3657866" y="0"/>
              <a:ext cx="1816026" cy="1805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489293</xdr:colOff>
      <xdr:row>10</xdr:row>
      <xdr:rowOff>95250</xdr:rowOff>
    </xdr:from>
    <xdr:to>
      <xdr:col>12</xdr:col>
      <xdr:colOff>317498</xdr:colOff>
      <xdr:row>13</xdr:row>
      <xdr:rowOff>288704</xdr:rowOff>
    </xdr:to>
    <xdr:sp macro="" textlink="">
      <xdr:nvSpPr>
        <xdr:cNvPr id="5" name="Rectangle: Rounded Corners 4">
          <a:extLst>
            <a:ext uri="{FF2B5EF4-FFF2-40B4-BE49-F238E27FC236}">
              <a16:creationId xmlns:a16="http://schemas.microsoft.com/office/drawing/2014/main" id="{2BCCA981-DB55-A687-7347-09150D46A458}"/>
            </a:ext>
          </a:extLst>
        </xdr:cNvPr>
        <xdr:cNvSpPr/>
      </xdr:nvSpPr>
      <xdr:spPr>
        <a:xfrm>
          <a:off x="7929376" y="2010833"/>
          <a:ext cx="2061289" cy="733204"/>
        </a:xfrm>
        <a:prstGeom prst="roundRect">
          <a:avLst/>
        </a:prstGeom>
        <a:solidFill>
          <a:schemeClr val="accent1">
            <a:lumMod val="40000"/>
            <a:lumOff val="60000"/>
          </a:schemeClr>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lt1"/>
              </a:solidFill>
              <a:effectLst/>
              <a:latin typeface="+mn-lt"/>
              <a:ea typeface="+mn-ea"/>
              <a:cs typeface="+mn-cs"/>
            </a:rPr>
            <a:t>Total Emissions</a:t>
          </a:r>
          <a:r>
            <a:rPr lang="en-IN" sz="1800">
              <a:effectLst/>
            </a:rPr>
            <a:t> </a:t>
          </a:r>
          <a:endParaRPr lang="en-IN" sz="1800"/>
        </a:p>
      </xdr:txBody>
    </xdr:sp>
    <xdr:clientData/>
  </xdr:twoCellAnchor>
  <xdr:twoCellAnchor>
    <xdr:from>
      <xdr:col>2</xdr:col>
      <xdr:colOff>570762</xdr:colOff>
      <xdr:row>11</xdr:row>
      <xdr:rowOff>10583</xdr:rowOff>
    </xdr:from>
    <xdr:to>
      <xdr:col>4</xdr:col>
      <xdr:colOff>47994</xdr:colOff>
      <xdr:row>13</xdr:row>
      <xdr:rowOff>290427</xdr:rowOff>
    </xdr:to>
    <xdr:sp macro="" textlink="">
      <xdr:nvSpPr>
        <xdr:cNvPr id="7" name="Rectangle: Rounded Corners 6">
          <a:extLst>
            <a:ext uri="{FF2B5EF4-FFF2-40B4-BE49-F238E27FC236}">
              <a16:creationId xmlns:a16="http://schemas.microsoft.com/office/drawing/2014/main" id="{08BBD68F-6062-D012-5905-305C5E9AD869}"/>
            </a:ext>
          </a:extLst>
        </xdr:cNvPr>
        <xdr:cNvSpPr/>
      </xdr:nvSpPr>
      <xdr:spPr>
        <a:xfrm>
          <a:off x="1798429" y="2106083"/>
          <a:ext cx="2006648" cy="639677"/>
        </a:xfrm>
        <a:prstGeom prst="roundRect">
          <a:avLst/>
        </a:prstGeom>
        <a:solidFill>
          <a:schemeClr val="accent1">
            <a:lumMod val="40000"/>
            <a:lumOff val="60000"/>
          </a:schemeClr>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mn-lt"/>
              <a:ea typeface="+mn-ea"/>
              <a:cs typeface="+mn-cs"/>
            </a:rPr>
            <a:t>Average Emissions</a:t>
          </a:r>
          <a:r>
            <a:rPr lang="en-IN" sz="1800" b="0">
              <a:effectLst/>
            </a:rPr>
            <a:t> </a:t>
          </a:r>
          <a:endParaRPr lang="en-IN" sz="1800" b="0"/>
        </a:p>
      </xdr:txBody>
    </xdr:sp>
    <xdr:clientData/>
  </xdr:twoCellAnchor>
  <xdr:twoCellAnchor>
    <xdr:from>
      <xdr:col>16</xdr:col>
      <xdr:colOff>398722</xdr:colOff>
      <xdr:row>11</xdr:row>
      <xdr:rowOff>21167</xdr:rowOff>
    </xdr:from>
    <xdr:to>
      <xdr:col>18</xdr:col>
      <xdr:colOff>296333</xdr:colOff>
      <xdr:row>13</xdr:row>
      <xdr:rowOff>283535</xdr:rowOff>
    </xdr:to>
    <xdr:sp macro="" textlink="">
      <xdr:nvSpPr>
        <xdr:cNvPr id="8" name="Rectangle: Rounded Corners 7">
          <a:extLst>
            <a:ext uri="{FF2B5EF4-FFF2-40B4-BE49-F238E27FC236}">
              <a16:creationId xmlns:a16="http://schemas.microsoft.com/office/drawing/2014/main" id="{116AD641-A705-6CF0-D8A9-435FBFB6B791}"/>
            </a:ext>
          </a:extLst>
        </xdr:cNvPr>
        <xdr:cNvSpPr/>
      </xdr:nvSpPr>
      <xdr:spPr>
        <a:xfrm>
          <a:off x="12527222" y="2116667"/>
          <a:ext cx="2077778" cy="622201"/>
        </a:xfrm>
        <a:prstGeom prst="roundRect">
          <a:avLst/>
        </a:prstGeom>
        <a:solidFill>
          <a:schemeClr val="accent1">
            <a:lumMod val="40000"/>
            <a:lumOff val="60000"/>
          </a:schemeClr>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lt1"/>
              </a:solidFill>
              <a:effectLst/>
              <a:latin typeface="+mn-lt"/>
              <a:ea typeface="+mn-ea"/>
              <a:cs typeface="+mn-cs"/>
            </a:rPr>
            <a:t>Top Facility</a:t>
          </a:r>
          <a:r>
            <a:rPr lang="en-IN" sz="1800">
              <a:effectLst/>
            </a:rPr>
            <a:t> </a:t>
          </a:r>
          <a:endParaRPr lang="en-IN" sz="1800"/>
        </a:p>
      </xdr:txBody>
    </xdr:sp>
    <xdr:clientData/>
  </xdr:twoCellAnchor>
  <xdr:twoCellAnchor>
    <xdr:from>
      <xdr:col>19</xdr:col>
      <xdr:colOff>709083</xdr:colOff>
      <xdr:row>15</xdr:row>
      <xdr:rowOff>126999</xdr:rowOff>
    </xdr:from>
    <xdr:to>
      <xdr:col>27</xdr:col>
      <xdr:colOff>232833</xdr:colOff>
      <xdr:row>30</xdr:row>
      <xdr:rowOff>171449</xdr:rowOff>
    </xdr:to>
    <xdr:graphicFrame macro="">
      <xdr:nvGraphicFramePr>
        <xdr:cNvPr id="18" name="Chart 17">
          <a:extLst>
            <a:ext uri="{FF2B5EF4-FFF2-40B4-BE49-F238E27FC236}">
              <a16:creationId xmlns:a16="http://schemas.microsoft.com/office/drawing/2014/main" id="{93A052B5-A97F-4421-B73D-D7DAB070F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137583</xdr:colOff>
      <xdr:row>10</xdr:row>
      <xdr:rowOff>127000</xdr:rowOff>
    </xdr:from>
    <xdr:to>
      <xdr:col>24</xdr:col>
      <xdr:colOff>370417</xdr:colOff>
      <xdr:row>13</xdr:row>
      <xdr:rowOff>243416</xdr:rowOff>
    </xdr:to>
    <xdr:sp macro="" textlink="">
      <xdr:nvSpPr>
        <xdr:cNvPr id="19" name="Rectangle: Rounded Corners 18">
          <a:extLst>
            <a:ext uri="{FF2B5EF4-FFF2-40B4-BE49-F238E27FC236}">
              <a16:creationId xmlns:a16="http://schemas.microsoft.com/office/drawing/2014/main" id="{9D650ED9-EEAE-0DDF-D9A6-5B2E3E2F8EB1}"/>
            </a:ext>
          </a:extLst>
        </xdr:cNvPr>
        <xdr:cNvSpPr/>
      </xdr:nvSpPr>
      <xdr:spPr>
        <a:xfrm>
          <a:off x="18108083" y="2042583"/>
          <a:ext cx="2074334" cy="656166"/>
        </a:xfrm>
        <a:prstGeom prst="roundRect">
          <a:avLst/>
        </a:prstGeom>
        <a:solidFill>
          <a:schemeClr val="accent1">
            <a:lumMod val="60000"/>
            <a:lumOff val="40000"/>
          </a:schemeClr>
        </a:solidFill>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Most Efficient Facility </a:t>
          </a:r>
        </a:p>
      </xdr:txBody>
    </xdr:sp>
    <xdr:clientData/>
  </xdr:twoCellAnchor>
  <xdr:twoCellAnchor>
    <xdr:from>
      <xdr:col>27</xdr:col>
      <xdr:colOff>576943</xdr:colOff>
      <xdr:row>15</xdr:row>
      <xdr:rowOff>108857</xdr:rowOff>
    </xdr:from>
    <xdr:to>
      <xdr:col>35</xdr:col>
      <xdr:colOff>321762</xdr:colOff>
      <xdr:row>31</xdr:row>
      <xdr:rowOff>8860</xdr:rowOff>
    </xdr:to>
    <xdr:graphicFrame macro="">
      <xdr:nvGraphicFramePr>
        <xdr:cNvPr id="20" name="Chart 19">
          <a:extLst>
            <a:ext uri="{FF2B5EF4-FFF2-40B4-BE49-F238E27FC236}">
              <a16:creationId xmlns:a16="http://schemas.microsoft.com/office/drawing/2014/main" id="{C34D0F55-6729-4EA3-8F1A-0A98F3F5E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566057</xdr:colOff>
      <xdr:row>10</xdr:row>
      <xdr:rowOff>76199</xdr:rowOff>
    </xdr:from>
    <xdr:to>
      <xdr:col>33</xdr:col>
      <xdr:colOff>359228</xdr:colOff>
      <xdr:row>13</xdr:row>
      <xdr:rowOff>250371</xdr:rowOff>
    </xdr:to>
    <xdr:sp macro="" textlink="">
      <xdr:nvSpPr>
        <xdr:cNvPr id="24" name="Rectangle: Rounded Corners 23">
          <a:extLst>
            <a:ext uri="{FF2B5EF4-FFF2-40B4-BE49-F238E27FC236}">
              <a16:creationId xmlns:a16="http://schemas.microsoft.com/office/drawing/2014/main" id="{276D1B5B-13EF-BAB8-9B66-E9682AA6B887}"/>
            </a:ext>
          </a:extLst>
        </xdr:cNvPr>
        <xdr:cNvSpPr/>
      </xdr:nvSpPr>
      <xdr:spPr>
        <a:xfrm>
          <a:off x="23164800" y="2035628"/>
          <a:ext cx="2841171" cy="729343"/>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Highest Emission Supplier</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Kaushik" refreshedDate="46147.982339351853" createdVersion="8" refreshedVersion="8" minRefreshableVersion="3" recordCount="20" xr:uid="{1415D026-C0CA-48F5-8DB9-81756A7D7A41}">
  <cacheSource type="worksheet">
    <worksheetSource name="Table7"/>
  </cacheSource>
  <cacheFields count="7">
    <cacheField name="Facility Name" numFmtId="0">
      <sharedItems count="5">
        <s v="Adani Green"/>
        <s v="JSW Energy"/>
        <s v="L&amp;T"/>
        <s v="Reliance Industries"/>
        <s v="Tata Steel"/>
      </sharedItems>
    </cacheField>
    <cacheField name="Year" numFmtId="0">
      <sharedItems count="2">
        <s v="2022"/>
        <s v="2023"/>
      </sharedItems>
    </cacheField>
    <cacheField name="QUARTER" numFmtId="0">
      <sharedItems count="2">
        <s v="Q1"/>
        <s v="Q2"/>
      </sharedItems>
    </cacheField>
    <cacheField name="CH₄" numFmtId="0">
      <sharedItems containsSemiMixedTypes="0" containsString="0" containsNumber="1" minValue="50162.541794699995" maxValue="129346.1991725" count="20">
        <n v="73049.413439199998"/>
        <n v="83797.322028399984"/>
        <n v="129346.1991725"/>
        <n v="122853.27237409999"/>
        <n v="68429.000044599976"/>
        <n v="110168.87847430001"/>
        <n v="60924.2258"/>
        <n v="77904.116125300003"/>
        <n v="69427.986585999999"/>
        <n v="84531.940807599967"/>
        <n v="88167.873229599994"/>
        <n v="50162.541794699995"/>
        <n v="77470.841921000014"/>
        <n v="74061.092263200015"/>
        <n v="65192.399545499997"/>
        <n v="85354.825582400023"/>
        <n v="100099.33307849999"/>
        <n v="80709.67502840003"/>
        <n v="89017.78465500001"/>
        <n v="119377.26824929999"/>
      </sharedItems>
    </cacheField>
    <cacheField name="CO₂" numFmtId="0">
      <sharedItems containsSemiMixedTypes="0" containsString="0" containsNumber="1" minValue="43221.147731999998" maxValue="164392.5824667" count="20">
        <n v="132818.93924349998"/>
        <n v="164392.5824667"/>
        <n v="122925.770898"/>
        <n v="91418.681581700002"/>
        <n v="77576.991259999995"/>
        <n v="94582.110753800007"/>
        <n v="88314.298408000002"/>
        <n v="101373.38877009999"/>
        <n v="43221.147731999998"/>
        <n v="64712.632769500007"/>
        <n v="43840.907152699998"/>
        <n v="81090.349822999997"/>
        <n v="74723.019296000013"/>
        <n v="84887.695205999989"/>
        <n v="99374.452635999973"/>
        <n v="52482.062996699999"/>
        <n v="90931.071901099975"/>
        <n v="116670.11947499996"/>
        <n v="108991.69502820002"/>
        <n v="61467.318069999994"/>
      </sharedItems>
    </cacheField>
    <cacheField name="N₂O" numFmtId="0">
      <sharedItems containsSemiMixedTypes="0" containsString="0" containsNumber="1" minValue="57894.777097500002" maxValue="134840.56244199997" count="20">
        <n v="134840.56244199997"/>
        <n v="78066.693311199968"/>
        <n v="108571.24420599997"/>
        <n v="119032.634666"/>
        <n v="57894.777097500002"/>
        <n v="79596.820319999999"/>
        <n v="68053.247266300008"/>
        <n v="61696.630718300003"/>
        <n v="75363.474725800013"/>
        <n v="61906.520310499996"/>
        <n v="82711.997312499996"/>
        <n v="70937.237002000009"/>
        <n v="111522.1249298"/>
        <n v="70093.214699000018"/>
        <n v="88076.527188899985"/>
        <n v="81451.331642199992"/>
        <n v="68834.179949900004"/>
        <n v="108908.97990219999"/>
        <n v="102520.34722130001"/>
        <n v="80472.296287999983"/>
      </sharedItems>
    </cacheField>
    <cacheField name="Total Emissions" numFmtId="0">
      <sharedItems containsSemiMixedTypes="0" containsString="0" containsNumber="1" minValue="188012.60904380001" maxValue="360843.21427649993" count="20">
        <n v="340708.91512469994"/>
        <n v="326256.59780629992"/>
        <n v="360843.21427649993"/>
        <n v="333304.58862179995"/>
        <n v="203900.76840209996"/>
        <n v="284347.80954809999"/>
        <n v="217291.77147430001"/>
        <n v="240974.1356137"/>
        <n v="188012.60904380001"/>
        <n v="211151.09388759997"/>
        <n v="214720.7776948"/>
        <n v="202190.1286197"/>
        <n v="263715.98614680005"/>
        <n v="229042.00216820004"/>
        <n v="252643.37937039995"/>
        <n v="219288.22022130003"/>
        <n v="259864.58492949995"/>
        <n v="306288.77440559998"/>
        <n v="300529.82690450002"/>
        <n v="261316.88260729998"/>
      </sharedItems>
    </cacheField>
  </cacheFields>
  <extLst>
    <ext xmlns:x14="http://schemas.microsoft.com/office/spreadsheetml/2009/9/main" uri="{725AE2AE-9491-48be-B2B4-4EB974FC3084}">
      <x14:pivotCacheDefinition pivotCacheId="20489703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Kaushik" refreshedDate="46148.601824768521" createdVersion="8" refreshedVersion="8" minRefreshableVersion="3" recordCount="19" xr:uid="{62D79F15-4C94-4172-98E1-7A1A94DCA9E3}">
  <cacheSource type="worksheet">
    <worksheetSource ref="A1:J20" sheet="Clean_Data"/>
  </cacheSource>
  <cacheFields count="10">
    <cacheField name="Facility Name" numFmtId="0">
      <sharedItems count="5">
        <s v="Adani Green"/>
        <s v="JSW Energy"/>
        <s v="L&amp;T"/>
        <s v="Reliance Industries"/>
        <s v="Tata Steel"/>
      </sharedItems>
    </cacheField>
    <cacheField name="Year" numFmtId="0">
      <sharedItems containsSemiMixedTypes="0" containsString="0" containsNumber="1" containsInteger="1" minValue="2022" maxValue="2023"/>
    </cacheField>
    <cacheField name="QUARTER" numFmtId="0">
      <sharedItems/>
    </cacheField>
    <cacheField name="CH₄" numFmtId="0">
      <sharedItems containsSemiMixedTypes="0" containsString="0" containsNumber="1" minValue="50162.541794699995" maxValue="129346.1991725"/>
    </cacheField>
    <cacheField name="CO₂" numFmtId="0">
      <sharedItems containsSemiMixedTypes="0" containsString="0" containsNumber="1" minValue="43221.147731999998" maxValue="164392.5824667"/>
    </cacheField>
    <cacheField name="N₂O" numFmtId="0">
      <sharedItems containsSemiMixedTypes="0" containsString="0" containsNumber="1" minValue="57894.777097500002" maxValue="134840.56244199997"/>
    </cacheField>
    <cacheField name="Total Emissions" numFmtId="0">
      <sharedItems containsSemiMixedTypes="0" containsString="0" containsNumber="1" minValue="188012.60904380001" maxValue="360843.21427649993"/>
    </cacheField>
    <cacheField name="Energy Consumption" numFmtId="0">
      <sharedItems containsSemiMixedTypes="0" containsString="0" containsNumber="1" minValue="928.26" maxValue="8818.16"/>
    </cacheField>
    <cacheField name="Production Volume" numFmtId="0">
      <sharedItems containsSemiMixedTypes="0" containsString="0" containsNumber="1" containsInteger="1" minValue="27681" maxValue="83923"/>
    </cacheField>
    <cacheField name="Energy Efficiency" numFmtId="0">
      <sharedItems containsSemiMixedTypes="0" containsString="0" containsNumber="1" minValue="6.3360285029401844" maxValue="29.8203089651606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Kaushik" refreshedDate="46148.635172569448" createdVersion="8" refreshedVersion="8" minRefreshableVersion="3" recordCount="100" xr:uid="{0EEC760F-F36D-40EC-B45A-3A45FB364A3C}">
  <cacheSource type="worksheet">
    <worksheetSource name="Table3"/>
  </cacheSource>
  <cacheFields count="3">
    <cacheField name="Supplier ID" numFmtId="0">
      <sharedItems count="10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haredItems>
    </cacheField>
    <cacheField name="Estimated Carbon Footprint (tons CO₂e)" numFmtId="0">
      <sharedItems containsSemiMixedTypes="0" containsString="0" containsNumber="1" minValue="105.67" maxValue="991.36"/>
    </cacheField>
    <cacheField name="Income Distribution (%)" numFmtId="0">
      <sharedItems count="100">
        <s v="{'F090': 38.84, 'F082': 36.92, 'F147': 24.24}"/>
        <s v="{'F143': 13.88, 'F082': 10.02, 'F057': 15.92, 'F150': 35.92, 'F056': 24.26}"/>
        <s v="{'F172': 36.89, 'F176': 32.29, 'F027': 10.84, 'F163': 19.98}"/>
        <s v="{'F157': 8.17, 'F100': 20.93, 'F136': 32.18, 'F132': 30.1, 'F067': 8.62}"/>
        <s v="{'F092': 9.83, 'F200': 44.17, 'F072': 36.04, 'F173': 9.96}"/>
        <s v="{'F023': 12.77, 'F192': 15.07, 'F189': 15.94, 'F169': 27.44, 'F118': 28.78}"/>
        <s v="{'F145': 7.14, 'F170': 26.48, 'F022': 28.45, 'F015': 9.9, 'F151': 28.03}"/>
        <s v="{'F002': 29.15, 'F104': 26.58, 'F059': 14.23, 'F066': 30.04}"/>
        <s v="{'F154': 18.01, 'F109': 27.42, 'F044': 23.14, 'F193': 31.43}"/>
        <s v="{'F084': 16.93, 'F027': 30.55, 'F198': 10.19, 'F040': 13.43, 'F101': 28.9}"/>
        <s v="{'F151': 22.49, 'F179': 18.73, 'F103': 26.99, 'F171': 22.41, 'F180': 9.39}"/>
        <s v="{'F013': 42.1, 'F111': 17.04, 'F054': 40.86}"/>
        <s v="{'F145': 46.85, 'F034': 53.15}"/>
        <s v="{'F151': 67.87, 'F141': 32.13}"/>
        <s v="{'F091': 11.71, 'F088': 28.19, 'F193': 29.84, 'F072': 30.26}"/>
        <s v="{'F130': 14.96, 'F106': 27.81, 'F153': 21.2, 'F084': 23.39, 'F133': 12.64}"/>
        <s v="{'F095': 19.31, 'F079': 80.69}"/>
        <s v="{'F058': 22.42, 'F043': 24.91, 'F182': 34.14, 'F143': 9.5, 'F022': 9.02}"/>
        <s v="{'F012': 23.81, 'F026': 28.62, 'F029': 29.71, 'F037': 10.31, 'F083': 7.54}"/>
        <s v="{'F118': 44.31, 'F161': 55.69}"/>
        <s v="{'F101': 11.07, 'F036': 29.01, 'F125': 13.24, 'F117': 23.44, 'F106': 23.25}"/>
        <s v="{'F029': 33.61, 'F084': 38.23, 'F002': 28.16}"/>
        <s v="{'F184': 21.4, 'F001': 23.33, 'F161': 14.33, 'F126': 13.32, 'F053': 27.62}"/>
        <s v="{'F161': 24.01, 'F094': 19.42, 'F162': 19.04, 'F024': 9.95, 'F146': 27.59}"/>
        <s v="{'F055': 19.26, 'F178': 11.3, 'F136': 32.17, 'F062': 37.27}"/>
        <s v="{'F156': 62.75, 'F112': 37.25}"/>
        <s v="{'F164': 58.54, 'F150': 41.46}"/>
        <s v="{'F084': 60.19, 'F108': 39.81}"/>
        <s v="{'F066': 19.84, 'F126': 33.2, 'F176': 46.96}"/>
        <s v="{'F189': 35.35, 'F128': 46.68, 'F025': 17.97}"/>
        <s v="{'F104': 11.07, 'F142': 30.4, 'F143': 20.63, 'F100': 37.91}"/>
        <s v="{'F148': 36.23, 'F033': 43.18, 'F170': 20.59}"/>
        <s v="{'F200': 33.06, 'F115': 6.78, 'F076': 14.81, 'F198': 27.48, 'F096': 17.87}"/>
        <s v="{'F055': 15.41, 'F025': 32.74, 'F185': 18.88, 'F138': 32.97}"/>
        <s v="{'F143': 28.17, 'F020': 13.64, 'F037': 17.22, 'F098': 19.7, 'F184': 21.26}"/>
        <s v="{'F163': 32.96, 'F018': 67.04}"/>
        <s v="{'F051': 9.87, 'F163': 27.0, 'F021': 26.24, 'F097': 23.67, 'F151': 13.22}"/>
        <s v="{'F138': 39.52, 'F070': 60.48}"/>
        <s v="{'F041': 33.59, 'F134': 66.41}"/>
        <s v="{'F167': 31.74, 'F197': 25.24, 'F198': 27.82, 'F065': 15.2}"/>
        <s v="{'F051': 24.97, 'F125': 25.14, 'F122': 19.55, 'F134': 6.31, 'F178': 24.04}"/>
        <s v="{'F080': 32.97, 'F033': 20.68, 'F024': 23.15, 'F012': 23.2}"/>
        <s v="{'F094': 25.79, 'F100': 11.14, 'F051': 31.48, 'F158': 31.59}"/>
        <s v="{'F050': 19.65, 'F186': 8.84, 'F104': 17.42, 'F089': 22.92, 'F128': 31.16}"/>
        <s v="{'F080': 57.09, 'F199': 15.41, 'F041': 12.64, 'F002': 14.86}"/>
        <s v="{'F024': 19.9, 'F004': 34.93, 'F195': 28.6, 'F056': 16.57}"/>
        <s v="{'F125': 21.87, 'F155': 25.39, 'F060': 13.07, 'F148': 39.67}"/>
        <s v="{'F074': 30.01, 'F165': 13.62, 'F039': 39.55, 'F169': 16.82}"/>
        <s v="{'F186': 33.66, 'F004': 66.34}"/>
        <s v="{'F030': 13.54, 'F183': 17.78, 'F147': 44.31, 'F044': 24.38}"/>
        <s v="{'F140': 44.97, 'F119': 55.03}"/>
        <s v="{'F167': 31.32, 'F052': 29.26, 'F029': 39.42}"/>
        <s v="{'F124': 47.12, 'F161': 19.58, 'F120': 33.3}"/>
        <s v="{'F014': 18.03, 'F183': 9.16, 'F051': 18.07, 'F089': 33.34, 'F050': 21.4}"/>
        <s v="{'F112': 73.95, 'F091': 26.05}"/>
        <s v="{'F189': 22.01, 'F027': 7.66, 'F105': 24.87, 'F032': 30.98, 'F095': 14.47}"/>
        <s v="{'F099': 35.29, 'F122': 32.43, 'F186': 32.28}"/>
        <s v="{'F068': 19.36, 'F033': 26.07, 'F161': 8.35, 'F045': 31.8, 'F036': 14.41}"/>
        <s v="{'F039': 25.32, 'F179': 9.99, 'F184': 26.86, 'F175': 20.62, 'F025': 17.22}"/>
        <s v="{'F062': 29.66, 'F071': 26.09, 'F107': 28.72, 'F013': 15.53}"/>
        <s v="{'F188': 21.98, 'F177': 24.69, 'F063': 35.04, 'F154': 18.28}"/>
        <s v="{'F161': 15.67, 'F130': 34.01, 'F094': 18.19, 'F124': 32.13}"/>
        <s v="{'F101': 29.18, 'F044': 32.23, 'F150': 11.71, 'F002': 17.03, 'F124': 9.85}"/>
        <s v="{'F031': 20.66, 'F186': 32.19, 'F057': 10.36, 'F181': 36.79}"/>
        <s v="{'F134': 21.43, 'F065': 39.29, 'F005': 39.28}"/>
        <s v="{'F166': 24.84, 'F121': 29.53, 'F143': 45.63}"/>
        <s v="{'F072': 16.1, 'F089': 19.68, 'F200': 20.28, 'F111': 22.97, 'F151': 20.97}"/>
        <s v="{'F027': 47.73, 'F153': 17.92, 'F196': 34.35}"/>
        <s v="{'F185': 31.87, 'F027': 68.13}"/>
        <s v="{'F034': 61.93, 'F170': 19.52, 'F107': 18.55}"/>
        <s v="{'F107': 28.46, 'F010': 9.08, 'F042': 13.78, 'F071': 34.7, 'F067': 13.98}"/>
        <s v="{'F198': 53.73, 'F114': 46.27}"/>
        <s v="{'F194': 70.54, 'F086': 29.46}"/>
        <s v="{'F183': 77.36, 'F138': 22.64}"/>
        <s v="{'F079': 45.19, 'F113': 54.81}"/>
        <s v="{'F019': 15.85, 'F012': 11.34, 'F090': 20.86, 'F160': 23.26, 'F159': 28.69}"/>
        <s v="{'F196': 30.85, 'F117': 23.15, 'F026': 17.99, 'F054': 28.0}"/>
        <s v="{'F123': 48.25, 'F161': 51.75}"/>
        <s v="{'F096': 25.58, 'F027': 9.34, 'F056': 31.8, 'F042': 7.05, 'F119': 26.23}"/>
        <s v="{'F120': 33.7, 'F084': 20.44, 'F196': 20.3, 'F195': 25.56}"/>
        <s v="{'F124': 54.56, 'F189': 45.44}"/>
        <s v="{'F017': 39.29, 'F103': 60.71}"/>
        <s v="{'F012': 20.92, 'F129': 52.46, 'F198': 26.62}"/>
        <s v="{'F095': 20.84, 'F167': 23.43, 'F105': 10.45, 'F172': 24.36, 'F177': 20.91}"/>
        <s v="{'F063': 28.89, 'F187': 31.34, 'F099': 29.13, 'F110': 10.65}"/>
        <s v="{'F146': 13.38, 'F009': 33.94, 'F094': 52.68}"/>
        <s v="{'F155': 19.93, 'F082': 22.18, 'F100': 21.75, 'F076': 19.28, 'F199': 16.86}"/>
        <s v="{'F145': 32.64, 'F047': 67.36}"/>
        <s v="{'F171': 23.38, 'F152': 15.81, 'F087': 16.02, 'F160': 21.25, 'F135': 23.54}"/>
        <s v="{'F113': 43.98, 'F019': 56.02}"/>
        <s v="{'F131': 28.42, 'F186': 35.64, 'F139': 35.95}"/>
        <s v="{'F120': 37.46, 'F041': 19.39, 'F126': 23.21, 'F082': 19.95}"/>
        <s v="{'F048': 35.39, 'F147': 25.3, 'F100': 21.04, 'F174': 18.28}"/>
        <s v="{'F140': 47.31, 'F050': 13.98, 'F119': 16.52, 'F118': 22.19}"/>
        <s v="{'F146': 25.22, 'F001': 26.48, 'F134': 33.71, 'F023': 14.58}"/>
        <s v="{'F130': 43.29, 'F105': 56.71}"/>
        <s v="{'F156': 20.53, 'F113': 21.38, 'F071': 21.21, 'F026': 24.05, 'F158': 12.82}"/>
        <s v="{'F184': 20.76, 'F168': 13.98, 'F147': 9.57, 'F034': 23.8, 'F104': 31.9}"/>
        <s v="{'F018': 49.4, 'F096': 50.6}"/>
        <s v="{'F184': 52.13, 'F170': 47.8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r>
  <r>
    <x v="0"/>
    <x v="0"/>
    <x v="1"/>
    <x v="1"/>
    <x v="1"/>
    <x v="1"/>
    <x v="1"/>
  </r>
  <r>
    <x v="0"/>
    <x v="1"/>
    <x v="0"/>
    <x v="2"/>
    <x v="2"/>
    <x v="2"/>
    <x v="2"/>
  </r>
  <r>
    <x v="0"/>
    <x v="1"/>
    <x v="1"/>
    <x v="3"/>
    <x v="3"/>
    <x v="3"/>
    <x v="3"/>
  </r>
  <r>
    <x v="1"/>
    <x v="0"/>
    <x v="0"/>
    <x v="4"/>
    <x v="4"/>
    <x v="4"/>
    <x v="4"/>
  </r>
  <r>
    <x v="1"/>
    <x v="0"/>
    <x v="1"/>
    <x v="5"/>
    <x v="5"/>
    <x v="5"/>
    <x v="5"/>
  </r>
  <r>
    <x v="1"/>
    <x v="1"/>
    <x v="0"/>
    <x v="6"/>
    <x v="6"/>
    <x v="6"/>
    <x v="6"/>
  </r>
  <r>
    <x v="1"/>
    <x v="1"/>
    <x v="1"/>
    <x v="7"/>
    <x v="7"/>
    <x v="7"/>
    <x v="7"/>
  </r>
  <r>
    <x v="2"/>
    <x v="0"/>
    <x v="0"/>
    <x v="8"/>
    <x v="8"/>
    <x v="8"/>
    <x v="8"/>
  </r>
  <r>
    <x v="2"/>
    <x v="0"/>
    <x v="1"/>
    <x v="9"/>
    <x v="9"/>
    <x v="9"/>
    <x v="9"/>
  </r>
  <r>
    <x v="2"/>
    <x v="1"/>
    <x v="0"/>
    <x v="10"/>
    <x v="10"/>
    <x v="10"/>
    <x v="10"/>
  </r>
  <r>
    <x v="2"/>
    <x v="1"/>
    <x v="1"/>
    <x v="11"/>
    <x v="11"/>
    <x v="11"/>
    <x v="11"/>
  </r>
  <r>
    <x v="3"/>
    <x v="0"/>
    <x v="0"/>
    <x v="12"/>
    <x v="12"/>
    <x v="12"/>
    <x v="12"/>
  </r>
  <r>
    <x v="3"/>
    <x v="0"/>
    <x v="1"/>
    <x v="13"/>
    <x v="13"/>
    <x v="13"/>
    <x v="13"/>
  </r>
  <r>
    <x v="3"/>
    <x v="1"/>
    <x v="0"/>
    <x v="14"/>
    <x v="14"/>
    <x v="14"/>
    <x v="14"/>
  </r>
  <r>
    <x v="3"/>
    <x v="1"/>
    <x v="1"/>
    <x v="15"/>
    <x v="15"/>
    <x v="15"/>
    <x v="15"/>
  </r>
  <r>
    <x v="4"/>
    <x v="0"/>
    <x v="0"/>
    <x v="16"/>
    <x v="16"/>
    <x v="16"/>
    <x v="16"/>
  </r>
  <r>
    <x v="4"/>
    <x v="0"/>
    <x v="1"/>
    <x v="17"/>
    <x v="17"/>
    <x v="17"/>
    <x v="17"/>
  </r>
  <r>
    <x v="4"/>
    <x v="1"/>
    <x v="0"/>
    <x v="18"/>
    <x v="18"/>
    <x v="18"/>
    <x v="18"/>
  </r>
  <r>
    <x v="4"/>
    <x v="1"/>
    <x v="1"/>
    <x v="19"/>
    <x v="19"/>
    <x v="19"/>
    <x v="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2022"/>
    <s v="Q1"/>
    <n v="73049.413439199998"/>
    <n v="132818.93924349998"/>
    <n v="134840.56244199997"/>
    <n v="340708.91512469994"/>
    <n v="6965.81"/>
    <n v="53661"/>
    <n v="7.7034831555842027"/>
  </r>
  <r>
    <x v="0"/>
    <n v="2022"/>
    <s v="Q2"/>
    <n v="83797.322028399984"/>
    <n v="164392.5824667"/>
    <n v="78066.693311199968"/>
    <n v="326256.59780629992"/>
    <n v="6965.81"/>
    <n v="53661"/>
    <n v="7.7034831555842027"/>
  </r>
  <r>
    <x v="0"/>
    <n v="2023"/>
    <s v="Q1"/>
    <n v="129346.1991725"/>
    <n v="122925.770898"/>
    <n v="108571.24420599997"/>
    <n v="360843.21427649993"/>
    <n v="6965.81"/>
    <n v="53661"/>
    <n v="7.7034831555842027"/>
  </r>
  <r>
    <x v="0"/>
    <n v="2023"/>
    <s v="Q2"/>
    <n v="122853.27237409999"/>
    <n v="91418.681581700002"/>
    <n v="119032.634666"/>
    <n v="333304.58862179995"/>
    <n v="6965.81"/>
    <n v="53661"/>
    <n v="7.7034831555842027"/>
  </r>
  <r>
    <x v="1"/>
    <n v="2022"/>
    <s v="Q1"/>
    <n v="68429.000044599976"/>
    <n v="77576.991259999995"/>
    <n v="57894.777097500002"/>
    <n v="203900.76840209996"/>
    <n v="8768.7999999999993"/>
    <n v="83923"/>
    <n v="9.5706368032113858"/>
  </r>
  <r>
    <x v="1"/>
    <n v="2022"/>
    <s v="Q2"/>
    <n v="110168.87847430001"/>
    <n v="94582.110753800007"/>
    <n v="79596.820319999999"/>
    <n v="284347.80954809999"/>
    <n v="8768.7999999999993"/>
    <n v="83923"/>
    <n v="9.5706368032113858"/>
  </r>
  <r>
    <x v="1"/>
    <n v="2023"/>
    <s v="Q1"/>
    <n v="60924.2258"/>
    <n v="88314.298408000002"/>
    <n v="68053.247266300008"/>
    <n v="217291.77147430001"/>
    <n v="8768.7999999999993"/>
    <n v="83923"/>
    <n v="9.5706368032113858"/>
  </r>
  <r>
    <x v="1"/>
    <n v="2023"/>
    <s v="Q2"/>
    <n v="77904.116125300003"/>
    <n v="101373.38877009999"/>
    <n v="61696.630718300003"/>
    <n v="240974.1356137"/>
    <n v="8768.7999999999993"/>
    <n v="83923"/>
    <n v="9.5706368032113858"/>
  </r>
  <r>
    <x v="2"/>
    <n v="2022"/>
    <s v="Q1"/>
    <n v="69427.986585999999"/>
    <n v="43221.147731999998"/>
    <n v="75363.474725800013"/>
    <n v="188012.60904380001"/>
    <n v="8543.68"/>
    <n v="54133"/>
    <n v="6.3360285029401844"/>
  </r>
  <r>
    <x v="2"/>
    <n v="2022"/>
    <s v="Q2"/>
    <n v="84531.940807599967"/>
    <n v="64712.632769500007"/>
    <n v="61906.520310499996"/>
    <n v="211151.09388759997"/>
    <n v="8543.68"/>
    <n v="54133"/>
    <n v="6.3360285029401844"/>
  </r>
  <r>
    <x v="2"/>
    <n v="2023"/>
    <s v="Q1"/>
    <n v="88167.873229599994"/>
    <n v="43840.907152699998"/>
    <n v="82711.997312499996"/>
    <n v="214720.7776948"/>
    <n v="8543.68"/>
    <n v="54133"/>
    <n v="6.3360285029401844"/>
  </r>
  <r>
    <x v="2"/>
    <n v="2023"/>
    <s v="Q2"/>
    <n v="50162.541794699995"/>
    <n v="81090.349822999997"/>
    <n v="70937.237002000009"/>
    <n v="202190.1286197"/>
    <n v="8543.68"/>
    <n v="54133"/>
    <n v="6.3360285029401844"/>
  </r>
  <r>
    <x v="3"/>
    <n v="2022"/>
    <s v="Q1"/>
    <n v="77470.841921000014"/>
    <n v="74723.019296000013"/>
    <n v="111522.1249298"/>
    <n v="263715.98614680005"/>
    <n v="8818.16"/>
    <n v="72813"/>
    <n v="8.2571647599952822"/>
  </r>
  <r>
    <x v="3"/>
    <n v="2022"/>
    <s v="Q2"/>
    <n v="74061.092263200015"/>
    <n v="84887.695205999989"/>
    <n v="70093.214699000018"/>
    <n v="229042.00216820004"/>
    <n v="8818.16"/>
    <n v="72813"/>
    <n v="8.2571647599952822"/>
  </r>
  <r>
    <x v="3"/>
    <n v="2023"/>
    <s v="Q1"/>
    <n v="65192.399545499997"/>
    <n v="99374.452635999973"/>
    <n v="88076.527188899985"/>
    <n v="252643.37937039995"/>
    <n v="8818.16"/>
    <n v="72813"/>
    <n v="8.2571647599952822"/>
  </r>
  <r>
    <x v="3"/>
    <n v="2023"/>
    <s v="Q2"/>
    <n v="85354.825582400023"/>
    <n v="52482.062996699999"/>
    <n v="81451.331642199992"/>
    <n v="219288.22022130003"/>
    <n v="8818.16"/>
    <n v="72813"/>
    <n v="8.2571647599952822"/>
  </r>
  <r>
    <x v="4"/>
    <n v="2022"/>
    <s v="Q1"/>
    <n v="100099.33307849999"/>
    <n v="90931.071901099975"/>
    <n v="68834.179949900004"/>
    <n v="259864.58492949995"/>
    <n v="928.26"/>
    <n v="27681"/>
    <n v="29.820308965160624"/>
  </r>
  <r>
    <x v="4"/>
    <n v="2022"/>
    <s v="Q2"/>
    <n v="80709.67502840003"/>
    <n v="116670.11947499996"/>
    <n v="108908.97990219999"/>
    <n v="306288.77440559998"/>
    <n v="928.26"/>
    <n v="27681"/>
    <n v="29.820308965160624"/>
  </r>
  <r>
    <x v="4"/>
    <n v="2023"/>
    <s v="Q1"/>
    <n v="89017.78465500001"/>
    <n v="108991.69502820002"/>
    <n v="102520.34722130001"/>
    <n v="300529.82690450002"/>
    <n v="928.26"/>
    <n v="27681"/>
    <n v="29.8203089651606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959.2"/>
    <x v="0"/>
  </r>
  <r>
    <x v="1"/>
    <n v="231.68"/>
    <x v="1"/>
  </r>
  <r>
    <x v="2"/>
    <n v="714.03"/>
    <x v="2"/>
  </r>
  <r>
    <x v="3"/>
    <n v="571.88"/>
    <x v="3"/>
  </r>
  <r>
    <x v="4"/>
    <n v="114.57"/>
    <x v="4"/>
  </r>
  <r>
    <x v="5"/>
    <n v="790.74"/>
    <x v="5"/>
  </r>
  <r>
    <x v="6"/>
    <n v="847.51"/>
    <x v="6"/>
  </r>
  <r>
    <x v="7"/>
    <n v="610.79999999999995"/>
    <x v="7"/>
  </r>
  <r>
    <x v="8"/>
    <n v="390.06"/>
    <x v="8"/>
  </r>
  <r>
    <x v="9"/>
    <n v="932.3"/>
    <x v="9"/>
  </r>
  <r>
    <x v="10"/>
    <n v="795.74"/>
    <x v="10"/>
  </r>
  <r>
    <x v="11"/>
    <n v="986.62"/>
    <x v="11"/>
  </r>
  <r>
    <x v="12"/>
    <n v="467.3"/>
    <x v="12"/>
  </r>
  <r>
    <x v="13"/>
    <n v="807.86"/>
    <x v="13"/>
  </r>
  <r>
    <x v="14"/>
    <n v="264.23"/>
    <x v="14"/>
  </r>
  <r>
    <x v="15"/>
    <n v="724.63"/>
    <x v="15"/>
  </r>
  <r>
    <x v="16"/>
    <n v="341.24"/>
    <x v="16"/>
  </r>
  <r>
    <x v="17"/>
    <n v="763.97"/>
    <x v="17"/>
  </r>
  <r>
    <x v="18"/>
    <n v="459.56"/>
    <x v="18"/>
  </r>
  <r>
    <x v="19"/>
    <n v="181.54"/>
    <x v="19"/>
  </r>
  <r>
    <x v="20"/>
    <n v="553.44000000000005"/>
    <x v="20"/>
  </r>
  <r>
    <x v="21"/>
    <n v="275.77"/>
    <x v="21"/>
  </r>
  <r>
    <x v="22"/>
    <n v="991.03"/>
    <x v="22"/>
  </r>
  <r>
    <x v="23"/>
    <n v="818.45"/>
    <x v="23"/>
  </r>
  <r>
    <x v="24"/>
    <n v="289.77"/>
    <x v="24"/>
  </r>
  <r>
    <x v="25"/>
    <n v="557.72"/>
    <x v="25"/>
  </r>
  <r>
    <x v="26"/>
    <n v="714.81"/>
    <x v="26"/>
  </r>
  <r>
    <x v="27"/>
    <n v="318.55"/>
    <x v="27"/>
  </r>
  <r>
    <x v="28"/>
    <n v="649.76"/>
    <x v="28"/>
  </r>
  <r>
    <x v="29"/>
    <n v="830.73"/>
    <x v="29"/>
  </r>
  <r>
    <x v="30"/>
    <n v="526.54999999999995"/>
    <x v="30"/>
  </r>
  <r>
    <x v="31"/>
    <n v="344.93"/>
    <x v="31"/>
  </r>
  <r>
    <x v="32"/>
    <n v="571.66"/>
    <x v="32"/>
  </r>
  <r>
    <x v="33"/>
    <n v="867.66"/>
    <x v="33"/>
  </r>
  <r>
    <x v="34"/>
    <n v="479.41"/>
    <x v="34"/>
  </r>
  <r>
    <x v="35"/>
    <n v="173.67"/>
    <x v="35"/>
  </r>
  <r>
    <x v="36"/>
    <n v="694.92"/>
    <x v="36"/>
  </r>
  <r>
    <x v="37"/>
    <n v="230.57"/>
    <x v="37"/>
  </r>
  <r>
    <x v="38"/>
    <n v="796.34"/>
    <x v="38"/>
  </r>
  <r>
    <x v="39"/>
    <n v="532.27"/>
    <x v="39"/>
  </r>
  <r>
    <x v="40"/>
    <n v="184.92"/>
    <x v="40"/>
  </r>
  <r>
    <x v="41"/>
    <n v="249.3"/>
    <x v="41"/>
  </r>
  <r>
    <x v="42"/>
    <n v="783.77"/>
    <x v="42"/>
  </r>
  <r>
    <x v="43"/>
    <n v="785.8"/>
    <x v="43"/>
  </r>
  <r>
    <x v="44"/>
    <n v="105.67"/>
    <x v="44"/>
  </r>
  <r>
    <x v="45"/>
    <n v="579.80999999999995"/>
    <x v="45"/>
  </r>
  <r>
    <x v="46"/>
    <n v="851.48"/>
    <x v="46"/>
  </r>
  <r>
    <x v="47"/>
    <n v="209.33"/>
    <x v="47"/>
  </r>
  <r>
    <x v="48"/>
    <n v="548.4"/>
    <x v="48"/>
  </r>
  <r>
    <x v="49"/>
    <n v="432.23"/>
    <x v="49"/>
  </r>
  <r>
    <x v="50"/>
    <n v="472.66"/>
    <x v="50"/>
  </r>
  <r>
    <x v="51"/>
    <n v="773.96"/>
    <x v="51"/>
  </r>
  <r>
    <x v="52"/>
    <n v="951.35"/>
    <x v="52"/>
  </r>
  <r>
    <x v="53"/>
    <n v="568.27"/>
    <x v="53"/>
  </r>
  <r>
    <x v="54"/>
    <n v="880.2"/>
    <x v="54"/>
  </r>
  <r>
    <x v="55"/>
    <n v="780.4"/>
    <x v="55"/>
  </r>
  <r>
    <x v="56"/>
    <n v="769.39"/>
    <x v="56"/>
  </r>
  <r>
    <x v="57"/>
    <n v="436.04"/>
    <x v="57"/>
  </r>
  <r>
    <x v="58"/>
    <n v="241.41"/>
    <x v="58"/>
  </r>
  <r>
    <x v="59"/>
    <n v="311.36"/>
    <x v="59"/>
  </r>
  <r>
    <x v="60"/>
    <n v="638.89"/>
    <x v="60"/>
  </r>
  <r>
    <x v="61"/>
    <n v="850.09"/>
    <x v="61"/>
  </r>
  <r>
    <x v="62"/>
    <n v="891.15"/>
    <x v="62"/>
  </r>
  <r>
    <x v="63"/>
    <n v="662.74"/>
    <x v="63"/>
  </r>
  <r>
    <x v="64"/>
    <n v="527.37"/>
    <x v="64"/>
  </r>
  <r>
    <x v="65"/>
    <n v="886.71"/>
    <x v="65"/>
  </r>
  <r>
    <x v="66"/>
    <n v="764.33"/>
    <x v="66"/>
  </r>
  <r>
    <x v="67"/>
    <n v="319.93"/>
    <x v="67"/>
  </r>
  <r>
    <x v="68"/>
    <n v="798.96"/>
    <x v="68"/>
  </r>
  <r>
    <x v="69"/>
    <n v="360.75"/>
    <x v="69"/>
  </r>
  <r>
    <x v="70"/>
    <n v="268.16000000000003"/>
    <x v="70"/>
  </r>
  <r>
    <x v="71"/>
    <n v="931.73"/>
    <x v="71"/>
  </r>
  <r>
    <x v="72"/>
    <n v="626.54"/>
    <x v="72"/>
  </r>
  <r>
    <x v="73"/>
    <n v="673.97"/>
    <x v="73"/>
  </r>
  <r>
    <x v="74"/>
    <n v="362.43"/>
    <x v="74"/>
  </r>
  <r>
    <x v="75"/>
    <n v="111.84"/>
    <x v="75"/>
  </r>
  <r>
    <x v="76"/>
    <n v="669.59"/>
    <x v="76"/>
  </r>
  <r>
    <x v="77"/>
    <n v="431.16"/>
    <x v="77"/>
  </r>
  <r>
    <x v="78"/>
    <n v="616.03"/>
    <x v="78"/>
  </r>
  <r>
    <x v="79"/>
    <n v="285.99"/>
    <x v="79"/>
  </r>
  <r>
    <x v="80"/>
    <n v="466.93"/>
    <x v="80"/>
  </r>
  <r>
    <x v="81"/>
    <n v="224.5"/>
    <x v="81"/>
  </r>
  <r>
    <x v="82"/>
    <n v="143.16999999999999"/>
    <x v="82"/>
  </r>
  <r>
    <x v="83"/>
    <n v="958.01"/>
    <x v="83"/>
  </r>
  <r>
    <x v="84"/>
    <n v="960.4"/>
    <x v="84"/>
  </r>
  <r>
    <x v="85"/>
    <n v="685.27"/>
    <x v="85"/>
  </r>
  <r>
    <x v="86"/>
    <n v="923.3"/>
    <x v="86"/>
  </r>
  <r>
    <x v="87"/>
    <n v="635.72"/>
    <x v="87"/>
  </r>
  <r>
    <x v="88"/>
    <n v="943.59"/>
    <x v="88"/>
  </r>
  <r>
    <x v="89"/>
    <n v="773.32"/>
    <x v="89"/>
  </r>
  <r>
    <x v="90"/>
    <n v="756.78"/>
    <x v="90"/>
  </r>
  <r>
    <x v="91"/>
    <n v="286.72000000000003"/>
    <x v="91"/>
  </r>
  <r>
    <x v="92"/>
    <n v="991.36"/>
    <x v="92"/>
  </r>
  <r>
    <x v="93"/>
    <n v="962.92"/>
    <x v="93"/>
  </r>
  <r>
    <x v="94"/>
    <n v="464.62"/>
    <x v="94"/>
  </r>
  <r>
    <x v="95"/>
    <n v="640.87"/>
    <x v="95"/>
  </r>
  <r>
    <x v="96"/>
    <n v="329.11"/>
    <x v="96"/>
  </r>
  <r>
    <x v="97"/>
    <n v="608.07000000000005"/>
    <x v="97"/>
  </r>
  <r>
    <x v="98"/>
    <n v="256.33999999999997"/>
    <x v="98"/>
  </r>
  <r>
    <x v="99"/>
    <n v="169.33"/>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AA81D-DAD5-412D-BF21-3BE2F50FFEB6}"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H12" firstHeaderRow="1" firstDataRow="1" firstDataCol="1"/>
  <pivotFields count="3">
    <pivotField axis="axisRow" showAll="0" measureFilter="1" sortType="descending">
      <items count="101">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s>
  <rowFields count="1">
    <field x="0"/>
  </rowFields>
  <rowItems count="11">
    <i>
      <x v="6"/>
    </i>
    <i>
      <x v="7"/>
    </i>
    <i>
      <x v="11"/>
    </i>
    <i>
      <x v="15"/>
    </i>
    <i>
      <x v="16"/>
    </i>
    <i>
      <x v="47"/>
    </i>
    <i>
      <x v="77"/>
    </i>
    <i>
      <x v="88"/>
    </i>
    <i>
      <x v="90"/>
    </i>
    <i>
      <x v="99"/>
    </i>
    <i t="grand">
      <x/>
    </i>
  </rowItems>
  <colItems count="1">
    <i/>
  </colItems>
  <dataFields count="1">
    <dataField name="Sum of Estimated Carbon Footprint (tons CO₂e)" fld="1"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12" showRowHeaders="1" showColHeaders="1" showRowStripes="1" showColStripes="1"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46992-0292-47C0-AC5B-F4EE4911451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1:E7" firstHeaderRow="1" firstDataRow="1" firstDataCol="1"/>
  <pivotFields count="1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Energy Efficiency" fld="9" baseField="0" baseItem="0"/>
  </dataFields>
  <formats count="24">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9439B5-B512-493F-AA47-D1AF5D7813C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B8" firstHeaderRow="1" firstDataRow="1" firstDataCol="1"/>
  <pivotFields count="7">
    <pivotField showAll="0"/>
    <pivotField axis="axisRow" showAll="0">
      <items count="3">
        <item x="0"/>
        <item x="1"/>
        <item t="default"/>
      </items>
    </pivotField>
    <pivotField axis="axisRow" showAll="0">
      <items count="3">
        <item x="0"/>
        <item x="1"/>
        <item t="default"/>
      </items>
    </pivotField>
    <pivotField showAll="0"/>
    <pivotField showAll="0"/>
    <pivotField showAll="0"/>
    <pivotField dataField="1" showAll="0">
      <items count="21">
        <item x="8"/>
        <item x="11"/>
        <item x="4"/>
        <item x="9"/>
        <item x="10"/>
        <item x="6"/>
        <item x="15"/>
        <item x="13"/>
        <item x="7"/>
        <item x="14"/>
        <item x="16"/>
        <item x="19"/>
        <item x="12"/>
        <item x="5"/>
        <item x="18"/>
        <item x="17"/>
        <item x="1"/>
        <item x="3"/>
        <item x="0"/>
        <item x="2"/>
        <item t="default"/>
      </items>
    </pivotField>
  </pivotFields>
  <rowFields count="2">
    <field x="1"/>
    <field x="2"/>
  </rowFields>
  <rowItems count="7">
    <i>
      <x/>
    </i>
    <i r="1">
      <x/>
    </i>
    <i r="1">
      <x v="1"/>
    </i>
    <i>
      <x v="1"/>
    </i>
    <i r="1">
      <x/>
    </i>
    <i r="1">
      <x v="1"/>
    </i>
    <i t="grand">
      <x/>
    </i>
  </rowItems>
  <colItems count="1">
    <i/>
  </colItems>
  <dataFields count="1">
    <dataField name="Sum of Total Emissions" fld="6" baseField="0" baseItem="0"/>
  </dataFields>
  <formats count="7">
    <format dxfId="31">
      <pivotArea collapsedLevelsAreSubtotals="1" fieldPosition="0">
        <references count="1">
          <reference field="1" count="1">
            <x v="0"/>
          </reference>
        </references>
      </pivotArea>
    </format>
    <format dxfId="32">
      <pivotArea collapsedLevelsAreSubtotals="1" fieldPosition="0">
        <references count="2">
          <reference field="1" count="1" selected="0">
            <x v="0"/>
          </reference>
          <reference field="2" count="0"/>
        </references>
      </pivotArea>
    </format>
    <format dxfId="33">
      <pivotArea collapsedLevelsAreSubtotals="1" fieldPosition="0">
        <references count="1">
          <reference field="1" count="1">
            <x v="1"/>
          </reference>
        </references>
      </pivotArea>
    </format>
    <format dxfId="34">
      <pivotArea collapsedLevelsAreSubtotals="1" fieldPosition="0">
        <references count="2">
          <reference field="1" count="1" selected="0">
            <x v="1"/>
          </reference>
          <reference field="2" count="0"/>
        </references>
      </pivotArea>
    </format>
    <format dxfId="35">
      <pivotArea dataOnly="0" labelOnly="1" fieldPosition="0">
        <references count="1">
          <reference field="1" count="0"/>
        </references>
      </pivotArea>
    </format>
    <format dxfId="36">
      <pivotArea dataOnly="0" labelOnly="1" fieldPosition="0">
        <references count="2">
          <reference field="1" count="1" selected="0">
            <x v="0"/>
          </reference>
          <reference field="2" count="0"/>
        </references>
      </pivotArea>
    </format>
    <format dxfId="37">
      <pivotArea dataOnly="0" labelOnly="1" fieldPosition="0">
        <references count="2">
          <reference field="1" count="1" selected="0">
            <x v="1"/>
          </reference>
          <reference field="2" count="0"/>
        </references>
      </pivotArea>
    </format>
  </formats>
  <chartFormats count="4">
    <chartFormat chart="6"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A2EC48-0606-4DE1-8F83-C672724B778C}"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B17" firstHeaderRow="1" firstDataRow="1" firstDataCol="1"/>
  <pivotFields count="7">
    <pivotField axis="axisRow" showAll="0">
      <items count="6">
        <item x="0"/>
        <item x="1"/>
        <item x="2"/>
        <item x="3"/>
        <item x="4"/>
        <item t="default"/>
      </items>
    </pivotField>
    <pivotField showAll="0"/>
    <pivotField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Total Emissions" fld="6" baseField="0" baseItem="0"/>
  </dataFields>
  <formats count="2">
    <format dxfId="83">
      <pivotArea collapsedLevelsAreSubtotals="1" fieldPosition="0">
        <references count="1">
          <reference field="0" count="0"/>
        </references>
      </pivotArea>
    </format>
    <format dxfId="82">
      <pivotArea dataOnly="0" labelOnly="1" fieldPosition="0">
        <references count="1">
          <reference field="0" count="0"/>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7383F-B36D-4C02-9962-C0FFB613A67B}"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0:D26" firstHeaderRow="0" firstDataRow="1" firstDataCol="1"/>
  <pivotFields count="7">
    <pivotField axis="axisRow" showAll="0">
      <items count="6">
        <item x="0"/>
        <item x="1"/>
        <item x="2"/>
        <item x="3"/>
        <item x="4"/>
        <item t="default"/>
      </items>
    </pivotField>
    <pivotField showAll="0">
      <items count="3">
        <item x="0"/>
        <item x="1"/>
        <item t="default"/>
      </items>
    </pivotField>
    <pivotField showAll="0">
      <items count="3">
        <item x="0"/>
        <item x="1"/>
        <item t="default"/>
      </items>
    </pivotField>
    <pivotField dataField="1" showAll="0">
      <items count="21">
        <item x="11"/>
        <item x="6"/>
        <item x="14"/>
        <item x="4"/>
        <item x="8"/>
        <item x="0"/>
        <item x="13"/>
        <item x="12"/>
        <item x="7"/>
        <item x="17"/>
        <item x="1"/>
        <item x="9"/>
        <item x="15"/>
        <item x="10"/>
        <item x="18"/>
        <item x="16"/>
        <item x="5"/>
        <item x="19"/>
        <item x="3"/>
        <item x="2"/>
        <item t="default"/>
      </items>
    </pivotField>
    <pivotField dataField="1" showAll="0">
      <items count="21">
        <item x="8"/>
        <item x="10"/>
        <item x="15"/>
        <item x="19"/>
        <item x="9"/>
        <item x="12"/>
        <item x="4"/>
        <item x="11"/>
        <item x="13"/>
        <item x="6"/>
        <item x="16"/>
        <item x="3"/>
        <item x="5"/>
        <item x="14"/>
        <item x="7"/>
        <item x="18"/>
        <item x="17"/>
        <item x="2"/>
        <item x="0"/>
        <item x="1"/>
        <item t="default"/>
      </items>
    </pivotField>
    <pivotField dataField="1" showAll="0">
      <items count="21">
        <item x="4"/>
        <item x="7"/>
        <item x="9"/>
        <item x="6"/>
        <item x="16"/>
        <item x="13"/>
        <item x="11"/>
        <item x="8"/>
        <item x="1"/>
        <item x="5"/>
        <item x="19"/>
        <item x="15"/>
        <item x="10"/>
        <item x="14"/>
        <item x="18"/>
        <item x="2"/>
        <item x="17"/>
        <item x="12"/>
        <item x="3"/>
        <item x="0"/>
        <item t="default"/>
      </items>
    </pivotField>
    <pivotField showAll="0"/>
  </pivotFields>
  <rowFields count="1">
    <field x="0"/>
  </rowFields>
  <rowItems count="6">
    <i>
      <x/>
    </i>
    <i>
      <x v="1"/>
    </i>
    <i>
      <x v="2"/>
    </i>
    <i>
      <x v="3"/>
    </i>
    <i>
      <x v="4"/>
    </i>
    <i t="grand">
      <x/>
    </i>
  </rowItems>
  <colFields count="1">
    <field x="-2"/>
  </colFields>
  <colItems count="3">
    <i>
      <x/>
    </i>
    <i i="1">
      <x v="1"/>
    </i>
    <i i="2">
      <x v="2"/>
    </i>
  </colItems>
  <dataFields count="3">
    <dataField name="Sum of CH₄" fld="3" baseField="0" baseItem="0"/>
    <dataField name="Sum of CO₂" fld="4" baseField="0" baseItem="0"/>
    <dataField name="Sum of N₂O" fld="5" baseField="0" baseItem="0"/>
  </dataFields>
  <formats count="8">
    <format dxfId="91">
      <pivotArea collapsedLevelsAreSubtotals="1" fieldPosition="0">
        <references count="1">
          <reference field="0" count="0"/>
        </references>
      </pivotArea>
    </format>
    <format dxfId="90">
      <pivotArea dataOnly="0" labelOnly="1" fieldPosition="0">
        <references count="1">
          <reference field="0" count="0"/>
        </references>
      </pivotArea>
    </format>
    <format dxfId="89">
      <pivotArea collapsedLevelsAreSubtotals="1" fieldPosition="0">
        <references count="1">
          <reference field="0" count="0"/>
        </references>
      </pivotArea>
    </format>
    <format dxfId="88">
      <pivotArea dataOnly="0" labelOnly="1" fieldPosition="0">
        <references count="1">
          <reference field="0" count="0"/>
        </references>
      </pivotArea>
    </format>
    <format dxfId="87">
      <pivotArea collapsedLevelsAreSubtotals="1" fieldPosition="0">
        <references count="1">
          <reference field="0" count="0"/>
        </references>
      </pivotArea>
    </format>
    <format dxfId="86">
      <pivotArea dataOnly="0" labelOnly="1" fieldPosition="0">
        <references count="1">
          <reference field="0" count="0"/>
        </references>
      </pivotArea>
    </format>
    <format dxfId="85">
      <pivotArea collapsedLevelsAreSubtotals="1" fieldPosition="0">
        <references count="1">
          <reference field="0" count="0"/>
        </references>
      </pivotArea>
    </format>
    <format dxfId="84">
      <pivotArea dataOnly="0" labelOnly="1" fieldPosition="0">
        <references count="1">
          <reference field="0" count="0"/>
        </references>
      </pivotArea>
    </format>
  </formats>
  <chartFormats count="9">
    <chartFormat chart="21"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93A60D-5D99-4137-9759-065E5F8A3E47}" sourceName="Year">
  <pivotTables>
    <pivotTable tabId="10" name="PivotTable6"/>
  </pivotTables>
  <data>
    <tabular pivotCacheId="20489703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F8EB621-2B8F-4E3D-A877-09FF2ECC6149}" sourceName="QUARTER">
  <pivotTables>
    <pivotTable tabId="10" name="PivotTable6"/>
  </pivotTables>
  <data>
    <tabular pivotCacheId="204897039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Name" xr10:uid="{AB784913-F7EA-4B1A-A11F-E58A08CB91A0}" sourceName="Facility Name">
  <pivotTables>
    <pivotTable tabId="10" name="PivotTable7"/>
    <pivotTable tabId="10" name="PivotTable8"/>
  </pivotTables>
  <data>
    <tabular pivotCacheId="204897039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D78B3C-0787-4F9F-A12F-A81C3D968BE5}" cache="Slicer_Year" caption="Year" rowHeight="247650"/>
  <slicer name="QUARTER" xr10:uid="{317B4433-F296-4A61-A145-EA2D26523524}" cache="Slicer_QUARTER" caption="QUARTER" rowHeight="247650"/>
  <slicer name="Facility Name" xr10:uid="{E7D32E25-0499-45D3-BF58-1D318EAA18C7}" cache="Slicer_Facility_Name" caption="Facility 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07E762-A993-4873-8753-3C7C5ACAD387}" name="Table1" displayName="Table1" ref="A1:F2001" totalsRowShown="0" headerRowDxfId="81" dataDxfId="79" headerRowBorderDxfId="80" tableBorderDxfId="78" totalsRowBorderDxfId="77">
  <autoFilter ref="A1:F2001" xr:uid="{5307E762-A993-4873-8753-3C7C5ACAD387}"/>
  <tableColumns count="6">
    <tableColumn id="1" xr3:uid="{96FC12E3-768E-452B-ACBB-5A4A300A9AE9}" name="Facility ID" dataDxfId="76"/>
    <tableColumn id="2" xr3:uid="{FA4CB10E-60E4-443B-9858-592D7E959A7B}" name="Facility Name" dataDxfId="75"/>
    <tableColumn id="3" xr3:uid="{A5356503-7B6C-49EF-9BC0-7A31461B85C8}" name="Reporting Period" dataDxfId="74"/>
    <tableColumn id="4" xr3:uid="{8C72C23B-BB97-4F7A-A5D1-2E55DD2B7291}" name="Scope" dataDxfId="73"/>
    <tableColumn id="5" xr3:uid="{56CC867C-5BD6-456A-9654-9A33850D27FF}" name="GHG Type" dataDxfId="72"/>
    <tableColumn id="6" xr3:uid="{9124BB9F-4737-48D1-B6DB-77100F2BBA6A}" name="Emissions (tons)" dataDxfId="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DB2629-23FA-4575-B2E0-C4D3E2C7A442}" name="Table2" displayName="Table2" ref="A1:E201" totalsRowShown="0" headerRowDxfId="70" dataDxfId="68" headerRowBorderDxfId="69" tableBorderDxfId="67" totalsRowBorderDxfId="66">
  <autoFilter ref="A1:E201" xr:uid="{1DDB2629-23FA-4575-B2E0-C4D3E2C7A442}"/>
  <tableColumns count="5">
    <tableColumn id="1" xr3:uid="{2D09787F-9574-4C29-9E5F-5D2912F4640F}" name="Facility ID" dataDxfId="65"/>
    <tableColumn id="2" xr3:uid="{15CADB3B-C5BC-45D3-9931-6CE5D72167A6}" name="Facility Name" dataDxfId="64"/>
    <tableColumn id="3" xr3:uid="{D1A0516D-FA97-4A68-B33E-EC50C411C233}" name="Production Volume (units)" dataDxfId="63"/>
    <tableColumn id="4" xr3:uid="{F203945E-D35B-40B9-929E-D14B78BC974F}" name="Energy Consumption (MWh)" dataDxfId="62"/>
    <tableColumn id="5" xr3:uid="{2A7BD6CC-9B5A-4EC7-BD2B-740D0646D0E2}" name="Waste (tons)" dataDxfId="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777FAB-847F-4753-8854-97C16AF1DBDF}" name="Table3" displayName="Table3" ref="A1:C101" totalsRowShown="0" headerRowDxfId="60" headerRowBorderDxfId="59" tableBorderDxfId="58" totalsRowBorderDxfId="57">
  <autoFilter ref="A1:C101" xr:uid="{84777FAB-847F-4753-8854-97C16AF1DBDF}"/>
  <tableColumns count="3">
    <tableColumn id="1" xr3:uid="{53B8C1DE-93F1-4B6A-9222-A2F174CF6440}" name="Supplier ID" dataDxfId="56"/>
    <tableColumn id="2" xr3:uid="{61843E40-4437-4C82-80B8-0D7DC26157E1}" name="Estimated Carbon Footprint (tons CO₂e)" dataDxfId="55"/>
    <tableColumn id="3" xr3:uid="{D60ED36D-14B5-44A2-8412-04140A217E25}" name="Income Distribution (%)" dataDxfId="5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F7B079-7BB5-4464-8DE8-93C4AA0B03BB}" name="Table4" displayName="Table4" ref="A1:C4" totalsRowShown="0" headerRowDxfId="53" headerRowBorderDxfId="52" tableBorderDxfId="51" totalsRowBorderDxfId="50">
  <autoFilter ref="A1:C4" xr:uid="{66F7B079-7BB5-4464-8DE8-93C4AA0B03BB}"/>
  <tableColumns count="3">
    <tableColumn id="1" xr3:uid="{AFEEBB8C-40FC-46B7-8ECE-89217BC9655C}" name="Benchmark" dataDxfId="49"/>
    <tableColumn id="2" xr3:uid="{42C1F6F0-9510-4964-AAE4-944196209112}" name="Value" dataDxfId="48"/>
    <tableColumn id="3" xr3:uid="{D2FA02E2-81BC-480E-99DF-0BAA01F0416E}" name="Description" dataDxfId="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54752B-4212-4BDE-975D-EB249406D98E}" name="Table7" displayName="Table7" ref="A1:J21" totalsRowShown="0" headerRowDxfId="46" dataDxfId="45">
  <autoFilter ref="A1:J21" xr:uid="{9754752B-4212-4BDE-975D-EB249406D98E}"/>
  <tableColumns count="10">
    <tableColumn id="1" xr3:uid="{771A1F7F-7D8B-468E-803F-D95E920BA7DD}" name="Facility Name" dataDxfId="44"/>
    <tableColumn id="2" xr3:uid="{F672C74E-A740-45BE-B32A-33C16441C130}" name="Year" dataDxfId="43"/>
    <tableColumn id="3" xr3:uid="{66A3C6B7-3463-451B-87BC-90BDC94631A4}" name="QUARTER" dataDxfId="42"/>
    <tableColumn id="4" xr3:uid="{A119A227-A0DE-4D43-BB9E-3351BFD9FA05}" name="CH₄" dataDxfId="41"/>
    <tableColumn id="5" xr3:uid="{A928E542-8301-4E93-9855-7D222E815E16}" name="CO₂" dataDxfId="40"/>
    <tableColumn id="6" xr3:uid="{8F018B65-19D3-497A-A060-40C55DE98E6A}" name="N₂O" dataDxfId="39"/>
    <tableColumn id="7" xr3:uid="{EB766FA6-5CD3-475B-A824-2904ED503B5D}" name="Total Emissions" dataDxfId="38">
      <calculatedColumnFormula>D2+E2+F2</calculatedColumnFormula>
    </tableColumn>
    <tableColumn id="8" xr3:uid="{4DC3E0AF-6C35-4378-AFD4-33E3C3A6817B}" name="Energy Consumption" dataDxfId="29">
      <calculatedColumnFormula>VLOOKUP(TRIM(Table7[[#This Row],[Facility Name]]),Table2[[Facility Name]:[Energy Consumption (MWh)]],3,FALSE)</calculatedColumnFormula>
    </tableColumn>
    <tableColumn id="9" xr3:uid="{EBD315C5-FB9D-40D8-98D9-0A9A46F7FD36}" name="Production Volume" dataDxfId="28">
      <calculatedColumnFormula>VLOOKUP(Table7[[#This Row],[Facility Name]],Table2[[Facility Name]:[Production Volume (units)]],2,FALSE)</calculatedColumnFormula>
    </tableColumn>
    <tableColumn id="10" xr3:uid="{8CEB25AC-FD9A-4988-BBD8-EB6B38499322}" name="Energy Efficiency" dataDxfId="30">
      <calculatedColumnFormula>Table7[[#This Row],[Production Volume]]/Table7[[#This Row],[Energy Consumption]]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0186-3C9D-4522-8FCD-C9C5830C3F0A}">
  <dimension ref="A1:F2001"/>
  <sheetViews>
    <sheetView zoomScale="80" zoomScaleNormal="80" workbookViewId="0">
      <selection activeCell="A1982" sqref="A2:F2001"/>
    </sheetView>
  </sheetViews>
  <sheetFormatPr defaultRowHeight="14.4" x14ac:dyDescent="0.3"/>
  <cols>
    <col min="1" max="1" width="16" bestFit="1" customWidth="1"/>
    <col min="2" max="2" width="20.6640625" bestFit="1" customWidth="1"/>
    <col min="3" max="3" width="25" bestFit="1" customWidth="1"/>
    <col min="4" max="4" width="11.21875" bestFit="1" customWidth="1"/>
    <col min="5" max="5" width="16.109375" bestFit="1" customWidth="1"/>
    <col min="6" max="6" width="24" bestFit="1" customWidth="1"/>
  </cols>
  <sheetData>
    <row r="1" spans="1:6" ht="21.6" thickBot="1" x14ac:dyDescent="0.35">
      <c r="A1" s="20" t="s">
        <v>0</v>
      </c>
      <c r="B1" s="21" t="s">
        <v>1</v>
      </c>
      <c r="C1" s="21" t="s">
        <v>2</v>
      </c>
      <c r="D1" s="21" t="s">
        <v>3</v>
      </c>
      <c r="E1" s="21" t="s">
        <v>4</v>
      </c>
      <c r="F1" s="22" t="s">
        <v>5</v>
      </c>
    </row>
    <row r="2" spans="1:6" ht="15" thickBot="1" x14ac:dyDescent="0.35">
      <c r="A2" s="3" t="s">
        <v>6</v>
      </c>
      <c r="B2" s="2" t="s">
        <v>7</v>
      </c>
      <c r="C2" s="2" t="s">
        <v>8</v>
      </c>
      <c r="D2" s="2" t="s">
        <v>9</v>
      </c>
      <c r="E2" s="2" t="s">
        <v>10</v>
      </c>
      <c r="F2" s="4">
        <v>2435.5974080000001</v>
      </c>
    </row>
    <row r="3" spans="1:6" ht="15" thickBot="1" x14ac:dyDescent="0.35">
      <c r="A3" s="3" t="s">
        <v>11</v>
      </c>
      <c r="B3" s="2" t="s">
        <v>12</v>
      </c>
      <c r="C3" s="2" t="s">
        <v>13</v>
      </c>
      <c r="D3" s="2" t="s">
        <v>14</v>
      </c>
      <c r="E3" s="2" t="s">
        <v>15</v>
      </c>
      <c r="F3" s="4">
        <v>835.45</v>
      </c>
    </row>
    <row r="4" spans="1:6" ht="15" thickBot="1" x14ac:dyDescent="0.35">
      <c r="A4" s="3" t="s">
        <v>16</v>
      </c>
      <c r="B4" s="2" t="s">
        <v>17</v>
      </c>
      <c r="C4" s="2" t="s">
        <v>13</v>
      </c>
      <c r="D4" s="2" t="s">
        <v>14</v>
      </c>
      <c r="E4" s="2" t="s">
        <v>15</v>
      </c>
      <c r="F4" s="4">
        <v>3430.45</v>
      </c>
    </row>
    <row r="5" spans="1:6" ht="15" thickBot="1" x14ac:dyDescent="0.35">
      <c r="A5" s="3" t="s">
        <v>18</v>
      </c>
      <c r="B5" s="2" t="s">
        <v>19</v>
      </c>
      <c r="C5" s="2" t="s">
        <v>8</v>
      </c>
      <c r="D5" s="2" t="s">
        <v>14</v>
      </c>
      <c r="E5" s="2" t="s">
        <v>15</v>
      </c>
      <c r="F5" s="4">
        <v>4214.24</v>
      </c>
    </row>
    <row r="6" spans="1:6" ht="15" thickBot="1" x14ac:dyDescent="0.35">
      <c r="A6" s="3" t="s">
        <v>20</v>
      </c>
      <c r="B6" s="2" t="s">
        <v>17</v>
      </c>
      <c r="C6" s="2" t="s">
        <v>13</v>
      </c>
      <c r="D6" s="2" t="s">
        <v>9</v>
      </c>
      <c r="E6" s="2" t="s">
        <v>10</v>
      </c>
      <c r="F6" s="4">
        <v>605.59354689999998</v>
      </c>
    </row>
    <row r="7" spans="1:6" ht="15" thickBot="1" x14ac:dyDescent="0.35">
      <c r="A7" s="3" t="s">
        <v>21</v>
      </c>
      <c r="B7" s="2" t="s">
        <v>19</v>
      </c>
      <c r="C7" s="2" t="s">
        <v>13</v>
      </c>
      <c r="D7" s="2" t="s">
        <v>14</v>
      </c>
      <c r="E7" s="2" t="s">
        <v>10</v>
      </c>
      <c r="F7" s="4">
        <v>656.33</v>
      </c>
    </row>
    <row r="8" spans="1:6" ht="15" thickBot="1" x14ac:dyDescent="0.35">
      <c r="A8" s="3" t="s">
        <v>22</v>
      </c>
      <c r="B8" s="2" t="s">
        <v>12</v>
      </c>
      <c r="C8" s="2" t="s">
        <v>23</v>
      </c>
      <c r="D8" s="2" t="s">
        <v>9</v>
      </c>
      <c r="E8" s="2" t="s">
        <v>24</v>
      </c>
      <c r="F8" s="4">
        <v>4455.9340899999997</v>
      </c>
    </row>
    <row r="9" spans="1:6" ht="15" thickBot="1" x14ac:dyDescent="0.35">
      <c r="A9" s="3" t="s">
        <v>25</v>
      </c>
      <c r="B9" s="2" t="s">
        <v>19</v>
      </c>
      <c r="C9" s="2" t="s">
        <v>13</v>
      </c>
      <c r="D9" s="2" t="s">
        <v>9</v>
      </c>
      <c r="E9" s="2" t="s">
        <v>10</v>
      </c>
      <c r="F9" s="4">
        <v>660.19753639999999</v>
      </c>
    </row>
    <row r="10" spans="1:6" ht="15" thickBot="1" x14ac:dyDescent="0.35">
      <c r="A10" s="3" t="s">
        <v>26</v>
      </c>
      <c r="B10" s="2" t="s">
        <v>17</v>
      </c>
      <c r="C10" s="2" t="s">
        <v>23</v>
      </c>
      <c r="D10" s="2" t="s">
        <v>9</v>
      </c>
      <c r="E10" s="2" t="s">
        <v>10</v>
      </c>
      <c r="F10" s="4">
        <v>1883.3043130000001</v>
      </c>
    </row>
    <row r="11" spans="1:6" ht="15" thickBot="1" x14ac:dyDescent="0.35">
      <c r="A11" s="3" t="s">
        <v>27</v>
      </c>
      <c r="B11" s="2" t="s">
        <v>12</v>
      </c>
      <c r="C11" s="2" t="s">
        <v>8</v>
      </c>
      <c r="D11" s="2" t="s">
        <v>28</v>
      </c>
      <c r="E11" s="2" t="s">
        <v>24</v>
      </c>
      <c r="F11" s="4">
        <v>221.01</v>
      </c>
    </row>
    <row r="12" spans="1:6" ht="15" thickBot="1" x14ac:dyDescent="0.35">
      <c r="A12" s="3" t="s">
        <v>29</v>
      </c>
      <c r="B12" s="2" t="s">
        <v>30</v>
      </c>
      <c r="C12" s="2" t="s">
        <v>8</v>
      </c>
      <c r="D12" s="2" t="s">
        <v>28</v>
      </c>
      <c r="E12" s="2" t="s">
        <v>10</v>
      </c>
      <c r="F12" s="4">
        <v>4737.0600000000004</v>
      </c>
    </row>
    <row r="13" spans="1:6" ht="15" thickBot="1" x14ac:dyDescent="0.35">
      <c r="A13" s="3" t="s">
        <v>31</v>
      </c>
      <c r="B13" s="2" t="s">
        <v>30</v>
      </c>
      <c r="C13" s="2" t="s">
        <v>8</v>
      </c>
      <c r="D13" s="2" t="s">
        <v>9</v>
      </c>
      <c r="E13" s="2" t="s">
        <v>24</v>
      </c>
      <c r="F13" s="4">
        <v>1951.279029</v>
      </c>
    </row>
    <row r="14" spans="1:6" ht="15" thickBot="1" x14ac:dyDescent="0.35">
      <c r="A14" s="3" t="s">
        <v>32</v>
      </c>
      <c r="B14" s="2" t="s">
        <v>7</v>
      </c>
      <c r="C14" s="2" t="s">
        <v>13</v>
      </c>
      <c r="D14" s="2" t="s">
        <v>28</v>
      </c>
      <c r="E14" s="2" t="s">
        <v>10</v>
      </c>
      <c r="F14" s="4">
        <v>4320.1099999999997</v>
      </c>
    </row>
    <row r="15" spans="1:6" ht="15" thickBot="1" x14ac:dyDescent="0.35">
      <c r="A15" s="3" t="s">
        <v>21</v>
      </c>
      <c r="B15" s="2" t="s">
        <v>19</v>
      </c>
      <c r="C15" s="2" t="s">
        <v>8</v>
      </c>
      <c r="D15" s="2" t="s">
        <v>28</v>
      </c>
      <c r="E15" s="2" t="s">
        <v>15</v>
      </c>
      <c r="F15" s="4">
        <v>2179.33</v>
      </c>
    </row>
    <row r="16" spans="1:6" ht="15" thickBot="1" x14ac:dyDescent="0.35">
      <c r="A16" s="3" t="s">
        <v>33</v>
      </c>
      <c r="B16" s="2" t="s">
        <v>19</v>
      </c>
      <c r="C16" s="2" t="s">
        <v>34</v>
      </c>
      <c r="D16" s="2" t="s">
        <v>14</v>
      </c>
      <c r="E16" s="2" t="s">
        <v>10</v>
      </c>
      <c r="F16" s="4">
        <v>3612.19</v>
      </c>
    </row>
    <row r="17" spans="1:6" ht="15" thickBot="1" x14ac:dyDescent="0.35">
      <c r="A17" s="3" t="s">
        <v>35</v>
      </c>
      <c r="B17" s="2" t="s">
        <v>19</v>
      </c>
      <c r="C17" s="2" t="s">
        <v>8</v>
      </c>
      <c r="D17" s="2" t="s">
        <v>28</v>
      </c>
      <c r="E17" s="2" t="s">
        <v>24</v>
      </c>
      <c r="F17" s="4">
        <v>1270.3599999999999</v>
      </c>
    </row>
    <row r="18" spans="1:6" ht="15" thickBot="1" x14ac:dyDescent="0.35">
      <c r="A18" s="3" t="s">
        <v>36</v>
      </c>
      <c r="B18" s="2" t="s">
        <v>12</v>
      </c>
      <c r="C18" s="2" t="s">
        <v>23</v>
      </c>
      <c r="D18" s="2" t="s">
        <v>28</v>
      </c>
      <c r="E18" s="2" t="s">
        <v>10</v>
      </c>
      <c r="F18" s="4">
        <v>1630.06</v>
      </c>
    </row>
    <row r="19" spans="1:6" ht="15" thickBot="1" x14ac:dyDescent="0.35">
      <c r="A19" s="3" t="s">
        <v>37</v>
      </c>
      <c r="B19" s="2" t="s">
        <v>17</v>
      </c>
      <c r="C19" s="2" t="s">
        <v>34</v>
      </c>
      <c r="D19" s="2" t="s">
        <v>9</v>
      </c>
      <c r="E19" s="2" t="s">
        <v>24</v>
      </c>
      <c r="F19" s="4">
        <v>3063.6059129999999</v>
      </c>
    </row>
    <row r="20" spans="1:6" ht="15" thickBot="1" x14ac:dyDescent="0.35">
      <c r="A20" s="3" t="s">
        <v>38</v>
      </c>
      <c r="B20" s="2" t="s">
        <v>30</v>
      </c>
      <c r="C20" s="2" t="s">
        <v>8</v>
      </c>
      <c r="D20" s="2" t="s">
        <v>9</v>
      </c>
      <c r="E20" s="2" t="s">
        <v>24</v>
      </c>
      <c r="F20" s="4">
        <v>2447.4218510000001</v>
      </c>
    </row>
    <row r="21" spans="1:6" ht="15" thickBot="1" x14ac:dyDescent="0.35">
      <c r="A21" s="3" t="s">
        <v>39</v>
      </c>
      <c r="B21" s="2" t="s">
        <v>7</v>
      </c>
      <c r="C21" s="2" t="s">
        <v>13</v>
      </c>
      <c r="D21" s="2" t="s">
        <v>28</v>
      </c>
      <c r="E21" s="2" t="s">
        <v>24</v>
      </c>
      <c r="F21" s="4">
        <v>4170.13</v>
      </c>
    </row>
    <row r="22" spans="1:6" ht="15" thickBot="1" x14ac:dyDescent="0.35">
      <c r="A22" s="3" t="s">
        <v>40</v>
      </c>
      <c r="B22" s="2" t="s">
        <v>19</v>
      </c>
      <c r="C22" s="2" t="s">
        <v>23</v>
      </c>
      <c r="D22" s="2" t="s">
        <v>9</v>
      </c>
      <c r="E22" s="2" t="s">
        <v>15</v>
      </c>
      <c r="F22" s="4">
        <v>2099.6404550000002</v>
      </c>
    </row>
    <row r="23" spans="1:6" ht="15" thickBot="1" x14ac:dyDescent="0.35">
      <c r="A23" s="3" t="s">
        <v>41</v>
      </c>
      <c r="B23" s="2" t="s">
        <v>30</v>
      </c>
      <c r="C23" s="2" t="s">
        <v>23</v>
      </c>
      <c r="D23" s="2" t="s">
        <v>28</v>
      </c>
      <c r="E23" s="2" t="s">
        <v>15</v>
      </c>
      <c r="F23" s="4">
        <v>3701.02</v>
      </c>
    </row>
    <row r="24" spans="1:6" ht="15" thickBot="1" x14ac:dyDescent="0.35">
      <c r="A24" s="3" t="s">
        <v>42</v>
      </c>
      <c r="B24" s="2" t="s">
        <v>30</v>
      </c>
      <c r="C24" s="2" t="s">
        <v>23</v>
      </c>
      <c r="D24" s="2" t="s">
        <v>28</v>
      </c>
      <c r="E24" s="2" t="s">
        <v>10</v>
      </c>
      <c r="F24" s="4">
        <v>1262.77</v>
      </c>
    </row>
    <row r="25" spans="1:6" ht="15" thickBot="1" x14ac:dyDescent="0.35">
      <c r="A25" s="3" t="s">
        <v>43</v>
      </c>
      <c r="B25" s="2" t="s">
        <v>17</v>
      </c>
      <c r="C25" s="2" t="s">
        <v>8</v>
      </c>
      <c r="D25" s="2" t="s">
        <v>14</v>
      </c>
      <c r="E25" s="2" t="s">
        <v>24</v>
      </c>
      <c r="F25" s="4">
        <v>2741.92</v>
      </c>
    </row>
    <row r="26" spans="1:6" ht="15" thickBot="1" x14ac:dyDescent="0.35">
      <c r="A26" s="3" t="s">
        <v>29</v>
      </c>
      <c r="B26" s="2" t="s">
        <v>30</v>
      </c>
      <c r="C26" s="2" t="s">
        <v>8</v>
      </c>
      <c r="D26" s="2" t="s">
        <v>14</v>
      </c>
      <c r="E26" s="2" t="s">
        <v>24</v>
      </c>
      <c r="F26" s="4">
        <v>1824.14</v>
      </c>
    </row>
    <row r="27" spans="1:6" ht="15" thickBot="1" x14ac:dyDescent="0.35">
      <c r="A27" s="3" t="s">
        <v>44</v>
      </c>
      <c r="B27" s="2" t="s">
        <v>19</v>
      </c>
      <c r="C27" s="2" t="s">
        <v>23</v>
      </c>
      <c r="D27" s="2" t="s">
        <v>9</v>
      </c>
      <c r="E27" s="2" t="s">
        <v>10</v>
      </c>
      <c r="F27" s="4">
        <v>738.43863229999999</v>
      </c>
    </row>
    <row r="28" spans="1:6" ht="15" thickBot="1" x14ac:dyDescent="0.35">
      <c r="A28" s="3" t="s">
        <v>45</v>
      </c>
      <c r="B28" s="2" t="s">
        <v>7</v>
      </c>
      <c r="C28" s="2" t="s">
        <v>13</v>
      </c>
      <c r="D28" s="2" t="s">
        <v>9</v>
      </c>
      <c r="E28" s="2" t="s">
        <v>15</v>
      </c>
      <c r="F28" s="4">
        <v>2856.7613379999998</v>
      </c>
    </row>
    <row r="29" spans="1:6" ht="15" thickBot="1" x14ac:dyDescent="0.35">
      <c r="A29" s="3" t="s">
        <v>46</v>
      </c>
      <c r="B29" s="2" t="s">
        <v>30</v>
      </c>
      <c r="C29" s="2" t="s">
        <v>13</v>
      </c>
      <c r="D29" s="2" t="s">
        <v>14</v>
      </c>
      <c r="E29" s="2" t="s">
        <v>24</v>
      </c>
      <c r="F29" s="4">
        <v>1787.35</v>
      </c>
    </row>
    <row r="30" spans="1:6" ht="15" thickBot="1" x14ac:dyDescent="0.35">
      <c r="A30" s="3" t="s">
        <v>47</v>
      </c>
      <c r="B30" s="2" t="s">
        <v>30</v>
      </c>
      <c r="C30" s="2" t="s">
        <v>23</v>
      </c>
      <c r="D30" s="2" t="s">
        <v>9</v>
      </c>
      <c r="E30" s="2" t="s">
        <v>15</v>
      </c>
      <c r="F30" s="4">
        <v>5138.8326189999998</v>
      </c>
    </row>
    <row r="31" spans="1:6" ht="15" thickBot="1" x14ac:dyDescent="0.35">
      <c r="A31" s="3" t="s">
        <v>48</v>
      </c>
      <c r="B31" s="2" t="s">
        <v>19</v>
      </c>
      <c r="C31" s="2" t="s">
        <v>8</v>
      </c>
      <c r="D31" s="2" t="s">
        <v>9</v>
      </c>
      <c r="E31" s="2" t="s">
        <v>10</v>
      </c>
      <c r="F31" s="4">
        <v>5005.4416869999995</v>
      </c>
    </row>
    <row r="32" spans="1:6" ht="15" thickBot="1" x14ac:dyDescent="0.35">
      <c r="A32" s="3" t="s">
        <v>49</v>
      </c>
      <c r="B32" s="2" t="s">
        <v>19</v>
      </c>
      <c r="C32" s="2" t="s">
        <v>23</v>
      </c>
      <c r="D32" s="2" t="s">
        <v>28</v>
      </c>
      <c r="E32" s="2" t="s">
        <v>24</v>
      </c>
      <c r="F32" s="4">
        <v>4053.3</v>
      </c>
    </row>
    <row r="33" spans="1:6" ht="15" thickBot="1" x14ac:dyDescent="0.35">
      <c r="A33" s="3" t="s">
        <v>50</v>
      </c>
      <c r="B33" s="2" t="s">
        <v>19</v>
      </c>
      <c r="C33" s="2" t="s">
        <v>23</v>
      </c>
      <c r="D33" s="2" t="s">
        <v>28</v>
      </c>
      <c r="E33" s="2" t="s">
        <v>24</v>
      </c>
      <c r="F33" s="4">
        <v>280.72000000000003</v>
      </c>
    </row>
    <row r="34" spans="1:6" ht="15" thickBot="1" x14ac:dyDescent="0.35">
      <c r="A34" s="3" t="s">
        <v>51</v>
      </c>
      <c r="B34" s="2" t="s">
        <v>30</v>
      </c>
      <c r="C34" s="2" t="s">
        <v>23</v>
      </c>
      <c r="D34" s="2" t="s">
        <v>14</v>
      </c>
      <c r="E34" s="2" t="s">
        <v>24</v>
      </c>
      <c r="F34" s="4">
        <v>329.41</v>
      </c>
    </row>
    <row r="35" spans="1:6" ht="15" thickBot="1" x14ac:dyDescent="0.35">
      <c r="A35" s="3" t="s">
        <v>52</v>
      </c>
      <c r="B35" s="2" t="s">
        <v>19</v>
      </c>
      <c r="C35" s="2" t="s">
        <v>13</v>
      </c>
      <c r="D35" s="2" t="s">
        <v>14</v>
      </c>
      <c r="E35" s="2" t="s">
        <v>15</v>
      </c>
      <c r="F35" s="4">
        <v>4133.74</v>
      </c>
    </row>
    <row r="36" spans="1:6" ht="15" thickBot="1" x14ac:dyDescent="0.35">
      <c r="A36" s="3" t="s">
        <v>53</v>
      </c>
      <c r="B36" s="2" t="s">
        <v>7</v>
      </c>
      <c r="C36" s="2" t="s">
        <v>34</v>
      </c>
      <c r="D36" s="2" t="s">
        <v>28</v>
      </c>
      <c r="E36" s="2" t="s">
        <v>15</v>
      </c>
      <c r="F36" s="4">
        <v>2773.3</v>
      </c>
    </row>
    <row r="37" spans="1:6" ht="15" thickBot="1" x14ac:dyDescent="0.35">
      <c r="A37" s="3" t="s">
        <v>54</v>
      </c>
      <c r="B37" s="2" t="s">
        <v>12</v>
      </c>
      <c r="C37" s="2" t="s">
        <v>13</v>
      </c>
      <c r="D37" s="2" t="s">
        <v>9</v>
      </c>
      <c r="E37" s="2" t="s">
        <v>10</v>
      </c>
      <c r="F37" s="4">
        <v>3482.0777469999998</v>
      </c>
    </row>
    <row r="38" spans="1:6" ht="15" thickBot="1" x14ac:dyDescent="0.35">
      <c r="A38" s="3" t="s">
        <v>55</v>
      </c>
      <c r="B38" s="2" t="s">
        <v>12</v>
      </c>
      <c r="C38" s="2" t="s">
        <v>34</v>
      </c>
      <c r="D38" s="2" t="s">
        <v>9</v>
      </c>
      <c r="E38" s="2" t="s">
        <v>10</v>
      </c>
      <c r="F38" s="4">
        <v>1953.7073989999999</v>
      </c>
    </row>
    <row r="39" spans="1:6" ht="15" thickBot="1" x14ac:dyDescent="0.35">
      <c r="A39" s="3" t="s">
        <v>29</v>
      </c>
      <c r="B39" s="2" t="s">
        <v>30</v>
      </c>
      <c r="C39" s="2" t="s">
        <v>34</v>
      </c>
      <c r="D39" s="2" t="s">
        <v>14</v>
      </c>
      <c r="E39" s="2" t="s">
        <v>15</v>
      </c>
      <c r="F39" s="4">
        <v>4444.76</v>
      </c>
    </row>
    <row r="40" spans="1:6" ht="15" thickBot="1" x14ac:dyDescent="0.35">
      <c r="A40" s="3" t="s">
        <v>55</v>
      </c>
      <c r="B40" s="2" t="s">
        <v>12</v>
      </c>
      <c r="C40" s="2" t="s">
        <v>23</v>
      </c>
      <c r="D40" s="2" t="s">
        <v>28</v>
      </c>
      <c r="E40" s="2" t="s">
        <v>15</v>
      </c>
      <c r="F40" s="4">
        <v>1836.99</v>
      </c>
    </row>
    <row r="41" spans="1:6" ht="15" thickBot="1" x14ac:dyDescent="0.35">
      <c r="A41" s="3" t="s">
        <v>56</v>
      </c>
      <c r="B41" s="2" t="s">
        <v>19</v>
      </c>
      <c r="C41" s="2" t="s">
        <v>8</v>
      </c>
      <c r="D41" s="2" t="s">
        <v>14</v>
      </c>
      <c r="E41" s="2" t="s">
        <v>15</v>
      </c>
      <c r="F41" s="4">
        <v>793.9</v>
      </c>
    </row>
    <row r="42" spans="1:6" ht="15" thickBot="1" x14ac:dyDescent="0.35">
      <c r="A42" s="3" t="s">
        <v>57</v>
      </c>
      <c r="B42" s="2" t="s">
        <v>19</v>
      </c>
      <c r="C42" s="2" t="s">
        <v>34</v>
      </c>
      <c r="D42" s="2" t="s">
        <v>28</v>
      </c>
      <c r="E42" s="2" t="s">
        <v>24</v>
      </c>
      <c r="F42" s="4">
        <v>1445.28</v>
      </c>
    </row>
    <row r="43" spans="1:6" ht="15" thickBot="1" x14ac:dyDescent="0.35">
      <c r="A43" s="3" t="s">
        <v>58</v>
      </c>
      <c r="B43" s="2" t="s">
        <v>17</v>
      </c>
      <c r="C43" s="2" t="s">
        <v>34</v>
      </c>
      <c r="D43" s="2" t="s">
        <v>9</v>
      </c>
      <c r="E43" s="2" t="s">
        <v>24</v>
      </c>
      <c r="F43" s="4">
        <v>1246.728069</v>
      </c>
    </row>
    <row r="44" spans="1:6" ht="15" thickBot="1" x14ac:dyDescent="0.35">
      <c r="A44" s="3" t="s">
        <v>59</v>
      </c>
      <c r="B44" s="2" t="s">
        <v>17</v>
      </c>
      <c r="C44" s="2" t="s">
        <v>34</v>
      </c>
      <c r="D44" s="2" t="s">
        <v>14</v>
      </c>
      <c r="E44" s="2" t="s">
        <v>10</v>
      </c>
      <c r="F44" s="4">
        <v>527.16999999999996</v>
      </c>
    </row>
    <row r="45" spans="1:6" ht="15" thickBot="1" x14ac:dyDescent="0.35">
      <c r="A45" s="3" t="s">
        <v>60</v>
      </c>
      <c r="B45" s="2" t="s">
        <v>12</v>
      </c>
      <c r="C45" s="2" t="s">
        <v>34</v>
      </c>
      <c r="D45" s="2" t="s">
        <v>14</v>
      </c>
      <c r="E45" s="2" t="s">
        <v>15</v>
      </c>
      <c r="F45" s="4">
        <v>542.33000000000004</v>
      </c>
    </row>
    <row r="46" spans="1:6" ht="15" thickBot="1" x14ac:dyDescent="0.35">
      <c r="A46" s="3" t="s">
        <v>61</v>
      </c>
      <c r="B46" s="2" t="s">
        <v>30</v>
      </c>
      <c r="C46" s="2" t="s">
        <v>34</v>
      </c>
      <c r="D46" s="2" t="s">
        <v>28</v>
      </c>
      <c r="E46" s="2" t="s">
        <v>24</v>
      </c>
      <c r="F46" s="4">
        <v>636.07000000000005</v>
      </c>
    </row>
    <row r="47" spans="1:6" ht="15" thickBot="1" x14ac:dyDescent="0.35">
      <c r="A47" s="3" t="s">
        <v>62</v>
      </c>
      <c r="B47" s="2" t="s">
        <v>30</v>
      </c>
      <c r="C47" s="2" t="s">
        <v>34</v>
      </c>
      <c r="D47" s="2" t="s">
        <v>9</v>
      </c>
      <c r="E47" s="2" t="s">
        <v>15</v>
      </c>
      <c r="F47" s="4">
        <v>3898.1983740000001</v>
      </c>
    </row>
    <row r="48" spans="1:6" ht="15" thickBot="1" x14ac:dyDescent="0.35">
      <c r="A48" s="3" t="s">
        <v>63</v>
      </c>
      <c r="B48" s="2" t="s">
        <v>12</v>
      </c>
      <c r="C48" s="2" t="s">
        <v>34</v>
      </c>
      <c r="D48" s="2" t="s">
        <v>9</v>
      </c>
      <c r="E48" s="2" t="s">
        <v>24</v>
      </c>
      <c r="F48" s="4">
        <v>525.24931200000003</v>
      </c>
    </row>
    <row r="49" spans="1:6" ht="15" thickBot="1" x14ac:dyDescent="0.35">
      <c r="A49" s="3" t="s">
        <v>64</v>
      </c>
      <c r="B49" s="2" t="s">
        <v>30</v>
      </c>
      <c r="C49" s="2" t="s">
        <v>8</v>
      </c>
      <c r="D49" s="2" t="s">
        <v>14</v>
      </c>
      <c r="E49" s="2" t="s">
        <v>15</v>
      </c>
      <c r="F49" s="4">
        <v>1135.03</v>
      </c>
    </row>
    <row r="50" spans="1:6" ht="15" thickBot="1" x14ac:dyDescent="0.35">
      <c r="A50" s="3" t="s">
        <v>37</v>
      </c>
      <c r="B50" s="2" t="s">
        <v>17</v>
      </c>
      <c r="C50" s="2" t="s">
        <v>23</v>
      </c>
      <c r="D50" s="2" t="s">
        <v>9</v>
      </c>
      <c r="E50" s="2" t="s">
        <v>24</v>
      </c>
      <c r="F50" s="4">
        <v>1670.506361</v>
      </c>
    </row>
    <row r="51" spans="1:6" ht="15" thickBot="1" x14ac:dyDescent="0.35">
      <c r="A51" s="3" t="s">
        <v>65</v>
      </c>
      <c r="B51" s="2" t="s">
        <v>30</v>
      </c>
      <c r="C51" s="2" t="s">
        <v>13</v>
      </c>
      <c r="D51" s="2" t="s">
        <v>9</v>
      </c>
      <c r="E51" s="2" t="s">
        <v>10</v>
      </c>
      <c r="F51" s="4">
        <v>939.61298339999996</v>
      </c>
    </row>
    <row r="52" spans="1:6" ht="15" thickBot="1" x14ac:dyDescent="0.35">
      <c r="A52" s="3" t="s">
        <v>49</v>
      </c>
      <c r="B52" s="2" t="s">
        <v>19</v>
      </c>
      <c r="C52" s="2" t="s">
        <v>34</v>
      </c>
      <c r="D52" s="2" t="s">
        <v>28</v>
      </c>
      <c r="E52" s="2" t="s">
        <v>10</v>
      </c>
      <c r="F52" s="4">
        <v>1436.13</v>
      </c>
    </row>
    <row r="53" spans="1:6" ht="15" thickBot="1" x14ac:dyDescent="0.35">
      <c r="A53" s="3" t="s">
        <v>66</v>
      </c>
      <c r="B53" s="2" t="s">
        <v>30</v>
      </c>
      <c r="C53" s="2" t="s">
        <v>34</v>
      </c>
      <c r="D53" s="2" t="s">
        <v>9</v>
      </c>
      <c r="E53" s="2" t="s">
        <v>24</v>
      </c>
      <c r="F53" s="4">
        <v>3950.000207</v>
      </c>
    </row>
    <row r="54" spans="1:6" ht="15" thickBot="1" x14ac:dyDescent="0.35">
      <c r="A54" s="3" t="s">
        <v>67</v>
      </c>
      <c r="B54" s="2" t="s">
        <v>7</v>
      </c>
      <c r="C54" s="2" t="s">
        <v>8</v>
      </c>
      <c r="D54" s="2" t="s">
        <v>9</v>
      </c>
      <c r="E54" s="2" t="s">
        <v>10</v>
      </c>
      <c r="F54" s="4">
        <v>4777.7700000000004</v>
      </c>
    </row>
    <row r="55" spans="1:6" ht="15" thickBot="1" x14ac:dyDescent="0.35">
      <c r="A55" s="3" t="s">
        <v>68</v>
      </c>
      <c r="B55" s="2" t="s">
        <v>12</v>
      </c>
      <c r="C55" s="2" t="s">
        <v>13</v>
      </c>
      <c r="D55" s="2" t="s">
        <v>9</v>
      </c>
      <c r="E55" s="2" t="s">
        <v>10</v>
      </c>
      <c r="F55" s="4">
        <v>739.48049089999995</v>
      </c>
    </row>
    <row r="56" spans="1:6" ht="15" thickBot="1" x14ac:dyDescent="0.35">
      <c r="A56" s="3" t="s">
        <v>69</v>
      </c>
      <c r="B56" s="2" t="s">
        <v>7</v>
      </c>
      <c r="C56" s="2" t="s">
        <v>23</v>
      </c>
      <c r="D56" s="2" t="s">
        <v>14</v>
      </c>
      <c r="E56" s="2" t="s">
        <v>10</v>
      </c>
      <c r="F56" s="4">
        <v>2957.08</v>
      </c>
    </row>
    <row r="57" spans="1:6" ht="15" thickBot="1" x14ac:dyDescent="0.35">
      <c r="A57" s="3" t="s">
        <v>70</v>
      </c>
      <c r="B57" s="2" t="s">
        <v>19</v>
      </c>
      <c r="C57" s="2" t="s">
        <v>13</v>
      </c>
      <c r="D57" s="2" t="s">
        <v>28</v>
      </c>
      <c r="E57" s="2" t="s">
        <v>24</v>
      </c>
      <c r="F57" s="4">
        <v>4782.28</v>
      </c>
    </row>
    <row r="58" spans="1:6" ht="15" thickBot="1" x14ac:dyDescent="0.35">
      <c r="A58" s="3" t="s">
        <v>53</v>
      </c>
      <c r="B58" s="2" t="s">
        <v>7</v>
      </c>
      <c r="C58" s="2" t="s">
        <v>34</v>
      </c>
      <c r="D58" s="2" t="s">
        <v>14</v>
      </c>
      <c r="E58" s="2" t="s">
        <v>15</v>
      </c>
      <c r="F58" s="4">
        <v>3836.23</v>
      </c>
    </row>
    <row r="59" spans="1:6" ht="15" thickBot="1" x14ac:dyDescent="0.35">
      <c r="A59" s="3" t="s">
        <v>71</v>
      </c>
      <c r="B59" s="2" t="s">
        <v>7</v>
      </c>
      <c r="C59" s="2" t="s">
        <v>13</v>
      </c>
      <c r="D59" s="2" t="s">
        <v>28</v>
      </c>
      <c r="E59" s="2" t="s">
        <v>10</v>
      </c>
      <c r="F59" s="4">
        <v>4410.6400000000003</v>
      </c>
    </row>
    <row r="60" spans="1:6" ht="15" thickBot="1" x14ac:dyDescent="0.35">
      <c r="A60" s="3" t="s">
        <v>70</v>
      </c>
      <c r="B60" s="2" t="s">
        <v>19</v>
      </c>
      <c r="C60" s="2" t="s">
        <v>34</v>
      </c>
      <c r="D60" s="2" t="s">
        <v>28</v>
      </c>
      <c r="E60" s="2" t="s">
        <v>24</v>
      </c>
      <c r="F60" s="4">
        <v>1861.93</v>
      </c>
    </row>
    <row r="61" spans="1:6" ht="15" thickBot="1" x14ac:dyDescent="0.35">
      <c r="A61" s="3" t="s">
        <v>72</v>
      </c>
      <c r="B61" s="2" t="s">
        <v>19</v>
      </c>
      <c r="C61" s="2" t="s">
        <v>8</v>
      </c>
      <c r="D61" s="2" t="s">
        <v>14</v>
      </c>
      <c r="E61" s="2" t="s">
        <v>10</v>
      </c>
      <c r="F61" s="4">
        <v>3332.83</v>
      </c>
    </row>
    <row r="62" spans="1:6" ht="15" thickBot="1" x14ac:dyDescent="0.35">
      <c r="A62" s="3" t="s">
        <v>73</v>
      </c>
      <c r="B62" s="2" t="s">
        <v>30</v>
      </c>
      <c r="C62" s="2" t="s">
        <v>34</v>
      </c>
      <c r="D62" s="2" t="s">
        <v>28</v>
      </c>
      <c r="E62" s="2" t="s">
        <v>24</v>
      </c>
      <c r="F62" s="4">
        <v>2649.83</v>
      </c>
    </row>
    <row r="63" spans="1:6" ht="15" thickBot="1" x14ac:dyDescent="0.35">
      <c r="A63" s="3" t="s">
        <v>74</v>
      </c>
      <c r="B63" s="2" t="s">
        <v>19</v>
      </c>
      <c r="C63" s="2" t="s">
        <v>8</v>
      </c>
      <c r="D63" s="2" t="s">
        <v>14</v>
      </c>
      <c r="E63" s="2" t="s">
        <v>24</v>
      </c>
      <c r="F63" s="4">
        <v>3224.33</v>
      </c>
    </row>
    <row r="64" spans="1:6" ht="15" thickBot="1" x14ac:dyDescent="0.35">
      <c r="A64" s="3" t="s">
        <v>22</v>
      </c>
      <c r="B64" s="2" t="s">
        <v>12</v>
      </c>
      <c r="C64" s="2" t="s">
        <v>23</v>
      </c>
      <c r="D64" s="2" t="s">
        <v>9</v>
      </c>
      <c r="E64" s="2" t="s">
        <v>10</v>
      </c>
      <c r="F64" s="4">
        <v>881.21756679999999</v>
      </c>
    </row>
    <row r="65" spans="1:6" ht="15" thickBot="1" x14ac:dyDescent="0.35">
      <c r="A65" s="3" t="s">
        <v>75</v>
      </c>
      <c r="B65" s="2" t="s">
        <v>19</v>
      </c>
      <c r="C65" s="2" t="s">
        <v>13</v>
      </c>
      <c r="D65" s="2" t="s">
        <v>9</v>
      </c>
      <c r="E65" s="2" t="s">
        <v>15</v>
      </c>
      <c r="F65" s="4">
        <v>5563.319544</v>
      </c>
    </row>
    <row r="66" spans="1:6" ht="15" thickBot="1" x14ac:dyDescent="0.35">
      <c r="A66" s="3" t="s">
        <v>76</v>
      </c>
      <c r="B66" s="2" t="s">
        <v>17</v>
      </c>
      <c r="C66" s="2" t="s">
        <v>34</v>
      </c>
      <c r="D66" s="2" t="s">
        <v>28</v>
      </c>
      <c r="E66" s="2" t="s">
        <v>24</v>
      </c>
      <c r="F66" s="4">
        <v>2558.1799999999998</v>
      </c>
    </row>
    <row r="67" spans="1:6" ht="15" thickBot="1" x14ac:dyDescent="0.35">
      <c r="A67" s="3" t="s">
        <v>77</v>
      </c>
      <c r="B67" s="2" t="s">
        <v>30</v>
      </c>
      <c r="C67" s="2" t="s">
        <v>23</v>
      </c>
      <c r="D67" s="2" t="s">
        <v>9</v>
      </c>
      <c r="E67" s="2" t="s">
        <v>10</v>
      </c>
      <c r="F67" s="4">
        <v>2013.870322</v>
      </c>
    </row>
    <row r="68" spans="1:6" ht="15" thickBot="1" x14ac:dyDescent="0.35">
      <c r="A68" s="3" t="s">
        <v>78</v>
      </c>
      <c r="B68" s="2" t="s">
        <v>7</v>
      </c>
      <c r="C68" s="2" t="s">
        <v>23</v>
      </c>
      <c r="D68" s="2" t="s">
        <v>28</v>
      </c>
      <c r="E68" s="2" t="s">
        <v>15</v>
      </c>
      <c r="F68" s="4">
        <v>1752.18</v>
      </c>
    </row>
    <row r="69" spans="1:6" ht="15" thickBot="1" x14ac:dyDescent="0.35">
      <c r="A69" s="3" t="s">
        <v>79</v>
      </c>
      <c r="B69" s="2" t="s">
        <v>17</v>
      </c>
      <c r="C69" s="2" t="s">
        <v>13</v>
      </c>
      <c r="D69" s="2" t="s">
        <v>28</v>
      </c>
      <c r="E69" s="2" t="s">
        <v>24</v>
      </c>
      <c r="F69" s="4">
        <v>4152.92</v>
      </c>
    </row>
    <row r="70" spans="1:6" ht="15" thickBot="1" x14ac:dyDescent="0.35">
      <c r="A70" s="3" t="s">
        <v>80</v>
      </c>
      <c r="B70" s="2" t="s">
        <v>17</v>
      </c>
      <c r="C70" s="2" t="s">
        <v>13</v>
      </c>
      <c r="D70" s="2" t="s">
        <v>28</v>
      </c>
      <c r="E70" s="2" t="s">
        <v>15</v>
      </c>
      <c r="F70" s="4">
        <v>61.94</v>
      </c>
    </row>
    <row r="71" spans="1:6" ht="15" thickBot="1" x14ac:dyDescent="0.35">
      <c r="A71" s="3" t="s">
        <v>66</v>
      </c>
      <c r="B71" s="2" t="s">
        <v>30</v>
      </c>
      <c r="C71" s="2" t="s">
        <v>34</v>
      </c>
      <c r="D71" s="2" t="s">
        <v>9</v>
      </c>
      <c r="E71" s="2" t="s">
        <v>15</v>
      </c>
      <c r="F71" s="4">
        <v>4862.4353590000001</v>
      </c>
    </row>
    <row r="72" spans="1:6" ht="15" thickBot="1" x14ac:dyDescent="0.35">
      <c r="A72" s="3" t="s">
        <v>81</v>
      </c>
      <c r="B72" s="2" t="s">
        <v>12</v>
      </c>
      <c r="C72" s="2" t="s">
        <v>23</v>
      </c>
      <c r="D72" s="2" t="s">
        <v>9</v>
      </c>
      <c r="E72" s="2" t="s">
        <v>10</v>
      </c>
      <c r="F72" s="4">
        <v>1930.129142</v>
      </c>
    </row>
    <row r="73" spans="1:6" ht="15" thickBot="1" x14ac:dyDescent="0.35">
      <c r="A73" s="3" t="s">
        <v>82</v>
      </c>
      <c r="B73" s="2" t="s">
        <v>17</v>
      </c>
      <c r="C73" s="2" t="s">
        <v>34</v>
      </c>
      <c r="D73" s="2" t="s">
        <v>28</v>
      </c>
      <c r="E73" s="2" t="s">
        <v>24</v>
      </c>
      <c r="F73" s="4">
        <v>2818.75</v>
      </c>
    </row>
    <row r="74" spans="1:6" ht="15" thickBot="1" x14ac:dyDescent="0.35">
      <c r="A74" s="3" t="s">
        <v>83</v>
      </c>
      <c r="B74" s="2" t="s">
        <v>17</v>
      </c>
      <c r="C74" s="2" t="s">
        <v>8</v>
      </c>
      <c r="D74" s="2" t="s">
        <v>9</v>
      </c>
      <c r="E74" s="2" t="s">
        <v>24</v>
      </c>
      <c r="F74" s="4">
        <v>2368.6695920000002</v>
      </c>
    </row>
    <row r="75" spans="1:6" ht="15" thickBot="1" x14ac:dyDescent="0.35">
      <c r="A75" s="3" t="s">
        <v>54</v>
      </c>
      <c r="B75" s="2" t="s">
        <v>12</v>
      </c>
      <c r="C75" s="2" t="s">
        <v>34</v>
      </c>
      <c r="D75" s="2" t="s">
        <v>14</v>
      </c>
      <c r="E75" s="2" t="s">
        <v>15</v>
      </c>
      <c r="F75" s="4">
        <v>1533.98</v>
      </c>
    </row>
    <row r="76" spans="1:6" ht="15" thickBot="1" x14ac:dyDescent="0.35">
      <c r="A76" s="3" t="s">
        <v>68</v>
      </c>
      <c r="B76" s="2" t="s">
        <v>12</v>
      </c>
      <c r="C76" s="2" t="s">
        <v>34</v>
      </c>
      <c r="D76" s="2" t="s">
        <v>14</v>
      </c>
      <c r="E76" s="2" t="s">
        <v>24</v>
      </c>
      <c r="F76" s="4">
        <v>249.89</v>
      </c>
    </row>
    <row r="77" spans="1:6" ht="15" thickBot="1" x14ac:dyDescent="0.35">
      <c r="A77" s="3" t="s">
        <v>84</v>
      </c>
      <c r="B77" s="2" t="s">
        <v>30</v>
      </c>
      <c r="C77" s="2" t="s">
        <v>13</v>
      </c>
      <c r="D77" s="2" t="s">
        <v>9</v>
      </c>
      <c r="E77" s="2" t="s">
        <v>15</v>
      </c>
      <c r="F77" s="4">
        <v>4797.8755950000004</v>
      </c>
    </row>
    <row r="78" spans="1:6" ht="15" thickBot="1" x14ac:dyDescent="0.35">
      <c r="A78" s="3" t="s">
        <v>85</v>
      </c>
      <c r="B78" s="2" t="s">
        <v>30</v>
      </c>
      <c r="C78" s="2" t="s">
        <v>23</v>
      </c>
      <c r="D78" s="2" t="s">
        <v>14</v>
      </c>
      <c r="E78" s="2" t="s">
        <v>24</v>
      </c>
      <c r="F78" s="4">
        <v>534.05999999999995</v>
      </c>
    </row>
    <row r="79" spans="1:6" ht="15" thickBot="1" x14ac:dyDescent="0.35">
      <c r="A79" s="3" t="s">
        <v>86</v>
      </c>
      <c r="B79" s="2" t="s">
        <v>19</v>
      </c>
      <c r="C79" s="2" t="s">
        <v>13</v>
      </c>
      <c r="D79" s="2" t="s">
        <v>14</v>
      </c>
      <c r="E79" s="2" t="s">
        <v>10</v>
      </c>
      <c r="F79" s="4">
        <v>4285.8999999999996</v>
      </c>
    </row>
    <row r="80" spans="1:6" ht="15" thickBot="1" x14ac:dyDescent="0.35">
      <c r="A80" s="3" t="s">
        <v>87</v>
      </c>
      <c r="B80" s="2" t="s">
        <v>12</v>
      </c>
      <c r="C80" s="2" t="s">
        <v>34</v>
      </c>
      <c r="D80" s="2" t="s">
        <v>28</v>
      </c>
      <c r="E80" s="2" t="s">
        <v>10</v>
      </c>
      <c r="F80" s="4">
        <v>1042.25</v>
      </c>
    </row>
    <row r="81" spans="1:6" ht="15" thickBot="1" x14ac:dyDescent="0.35">
      <c r="A81" s="3" t="s">
        <v>88</v>
      </c>
      <c r="B81" s="2" t="s">
        <v>7</v>
      </c>
      <c r="C81" s="2" t="s">
        <v>34</v>
      </c>
      <c r="D81" s="2" t="s">
        <v>9</v>
      </c>
      <c r="E81" s="2" t="s">
        <v>24</v>
      </c>
      <c r="F81" s="4">
        <v>1836.6851220000001</v>
      </c>
    </row>
    <row r="82" spans="1:6" ht="15" thickBot="1" x14ac:dyDescent="0.35">
      <c r="A82" s="3" t="s">
        <v>89</v>
      </c>
      <c r="B82" s="2" t="s">
        <v>17</v>
      </c>
      <c r="C82" s="2" t="s">
        <v>13</v>
      </c>
      <c r="D82" s="2" t="s">
        <v>28</v>
      </c>
      <c r="E82" s="2" t="s">
        <v>15</v>
      </c>
      <c r="F82" s="4">
        <v>3337.6</v>
      </c>
    </row>
    <row r="83" spans="1:6" ht="15" thickBot="1" x14ac:dyDescent="0.35">
      <c r="A83" s="3" t="s">
        <v>32</v>
      </c>
      <c r="B83" s="2" t="s">
        <v>7</v>
      </c>
      <c r="C83" s="2" t="s">
        <v>34</v>
      </c>
      <c r="D83" s="2" t="s">
        <v>14</v>
      </c>
      <c r="E83" s="2" t="s">
        <v>15</v>
      </c>
      <c r="F83" s="4">
        <v>2632.11</v>
      </c>
    </row>
    <row r="84" spans="1:6" ht="15" thickBot="1" x14ac:dyDescent="0.35">
      <c r="A84" s="3" t="s">
        <v>90</v>
      </c>
      <c r="B84" s="2" t="s">
        <v>19</v>
      </c>
      <c r="C84" s="2" t="s">
        <v>23</v>
      </c>
      <c r="D84" s="2" t="s">
        <v>28</v>
      </c>
      <c r="E84" s="2" t="s">
        <v>24</v>
      </c>
      <c r="F84" s="4">
        <v>2011.5</v>
      </c>
    </row>
    <row r="85" spans="1:6" ht="15" thickBot="1" x14ac:dyDescent="0.35">
      <c r="A85" s="3" t="s">
        <v>91</v>
      </c>
      <c r="B85" s="2" t="s">
        <v>30</v>
      </c>
      <c r="C85" s="2" t="s">
        <v>23</v>
      </c>
      <c r="D85" s="2" t="s">
        <v>28</v>
      </c>
      <c r="E85" s="2" t="s">
        <v>15</v>
      </c>
      <c r="F85" s="4">
        <v>724.26</v>
      </c>
    </row>
    <row r="86" spans="1:6" ht="15" thickBot="1" x14ac:dyDescent="0.35">
      <c r="A86" s="3" t="s">
        <v>6</v>
      </c>
      <c r="B86" s="2" t="s">
        <v>7</v>
      </c>
      <c r="C86" s="2" t="s">
        <v>23</v>
      </c>
      <c r="D86" s="2" t="s">
        <v>14</v>
      </c>
      <c r="E86" s="2" t="s">
        <v>24</v>
      </c>
      <c r="F86" s="4">
        <v>2373.2600000000002</v>
      </c>
    </row>
    <row r="87" spans="1:6" ht="15" thickBot="1" x14ac:dyDescent="0.35">
      <c r="A87" s="3" t="s">
        <v>47</v>
      </c>
      <c r="B87" s="2" t="s">
        <v>30</v>
      </c>
      <c r="C87" s="2" t="s">
        <v>34</v>
      </c>
      <c r="D87" s="2" t="s">
        <v>28</v>
      </c>
      <c r="E87" s="2" t="s">
        <v>24</v>
      </c>
      <c r="F87" s="4">
        <v>1440.9</v>
      </c>
    </row>
    <row r="88" spans="1:6" ht="15" thickBot="1" x14ac:dyDescent="0.35">
      <c r="A88" s="3" t="s">
        <v>92</v>
      </c>
      <c r="B88" s="2" t="s">
        <v>30</v>
      </c>
      <c r="C88" s="2" t="s">
        <v>13</v>
      </c>
      <c r="D88" s="2" t="s">
        <v>28</v>
      </c>
      <c r="E88" s="2" t="s">
        <v>10</v>
      </c>
      <c r="F88" s="4">
        <v>569.39</v>
      </c>
    </row>
    <row r="89" spans="1:6" ht="15" thickBot="1" x14ac:dyDescent="0.35">
      <c r="A89" s="3" t="s">
        <v>43</v>
      </c>
      <c r="B89" s="2" t="s">
        <v>17</v>
      </c>
      <c r="C89" s="2" t="s">
        <v>23</v>
      </c>
      <c r="D89" s="2" t="s">
        <v>14</v>
      </c>
      <c r="E89" s="2" t="s">
        <v>24</v>
      </c>
      <c r="F89" s="4">
        <v>1161.74</v>
      </c>
    </row>
    <row r="90" spans="1:6" ht="15" thickBot="1" x14ac:dyDescent="0.35">
      <c r="A90" s="3" t="s">
        <v>37</v>
      </c>
      <c r="B90" s="2" t="s">
        <v>17</v>
      </c>
      <c r="C90" s="2" t="s">
        <v>8</v>
      </c>
      <c r="D90" s="2" t="s">
        <v>9</v>
      </c>
      <c r="E90" s="2" t="s">
        <v>24</v>
      </c>
      <c r="F90" s="4">
        <v>4200.5000110000001</v>
      </c>
    </row>
    <row r="91" spans="1:6" ht="15" thickBot="1" x14ac:dyDescent="0.35">
      <c r="A91" s="3" t="s">
        <v>55</v>
      </c>
      <c r="B91" s="2" t="s">
        <v>12</v>
      </c>
      <c r="C91" s="2" t="s">
        <v>8</v>
      </c>
      <c r="D91" s="2" t="s">
        <v>14</v>
      </c>
      <c r="E91" s="2" t="s">
        <v>15</v>
      </c>
      <c r="F91" s="4">
        <v>2311.5500000000002</v>
      </c>
    </row>
    <row r="92" spans="1:6" ht="15" thickBot="1" x14ac:dyDescent="0.35">
      <c r="A92" s="3" t="s">
        <v>93</v>
      </c>
      <c r="B92" s="2" t="s">
        <v>30</v>
      </c>
      <c r="C92" s="2" t="s">
        <v>8</v>
      </c>
      <c r="D92" s="2" t="s">
        <v>28</v>
      </c>
      <c r="E92" s="2" t="s">
        <v>15</v>
      </c>
      <c r="F92" s="4">
        <v>2116.64</v>
      </c>
    </row>
    <row r="93" spans="1:6" ht="15" thickBot="1" x14ac:dyDescent="0.35">
      <c r="A93" s="3" t="s">
        <v>94</v>
      </c>
      <c r="B93" s="2" t="s">
        <v>7</v>
      </c>
      <c r="C93" s="2" t="s">
        <v>13</v>
      </c>
      <c r="D93" s="2" t="s">
        <v>28</v>
      </c>
      <c r="E93" s="2" t="s">
        <v>15</v>
      </c>
      <c r="F93" s="4">
        <v>2833.88</v>
      </c>
    </row>
    <row r="94" spans="1:6" ht="15" thickBot="1" x14ac:dyDescent="0.35">
      <c r="A94" s="3" t="s">
        <v>95</v>
      </c>
      <c r="B94" s="2" t="s">
        <v>30</v>
      </c>
      <c r="C94" s="2" t="s">
        <v>8</v>
      </c>
      <c r="D94" s="2" t="s">
        <v>28</v>
      </c>
      <c r="E94" s="2" t="s">
        <v>10</v>
      </c>
      <c r="F94" s="4">
        <v>2605.96</v>
      </c>
    </row>
    <row r="95" spans="1:6" ht="15" thickBot="1" x14ac:dyDescent="0.35">
      <c r="A95" s="3" t="s">
        <v>69</v>
      </c>
      <c r="B95" s="2" t="s">
        <v>7</v>
      </c>
      <c r="C95" s="2" t="s">
        <v>34</v>
      </c>
      <c r="D95" s="2" t="s">
        <v>9</v>
      </c>
      <c r="E95" s="2" t="s">
        <v>24</v>
      </c>
      <c r="F95" s="4">
        <v>532.45395829999995</v>
      </c>
    </row>
    <row r="96" spans="1:6" ht="15" thickBot="1" x14ac:dyDescent="0.35">
      <c r="A96" s="3" t="s">
        <v>96</v>
      </c>
      <c r="B96" s="2" t="s">
        <v>19</v>
      </c>
      <c r="C96" s="2" t="s">
        <v>13</v>
      </c>
      <c r="D96" s="2" t="s">
        <v>9</v>
      </c>
      <c r="E96" s="2" t="s">
        <v>24</v>
      </c>
      <c r="F96" s="4">
        <v>1876.9554659999999</v>
      </c>
    </row>
    <row r="97" spans="1:6" ht="15" thickBot="1" x14ac:dyDescent="0.35">
      <c r="A97" s="3" t="s">
        <v>97</v>
      </c>
      <c r="B97" s="2" t="s">
        <v>7</v>
      </c>
      <c r="C97" s="2" t="s">
        <v>13</v>
      </c>
      <c r="D97" s="2" t="s">
        <v>14</v>
      </c>
      <c r="E97" s="2" t="s">
        <v>15</v>
      </c>
      <c r="F97" s="4">
        <v>522.41</v>
      </c>
    </row>
    <row r="98" spans="1:6" ht="15" thickBot="1" x14ac:dyDescent="0.35">
      <c r="A98" s="3" t="s">
        <v>98</v>
      </c>
      <c r="B98" s="2" t="s">
        <v>19</v>
      </c>
      <c r="C98" s="2" t="s">
        <v>23</v>
      </c>
      <c r="D98" s="2" t="s">
        <v>9</v>
      </c>
      <c r="E98" s="2" t="s">
        <v>10</v>
      </c>
      <c r="F98" s="4">
        <v>4953.9799999999996</v>
      </c>
    </row>
    <row r="99" spans="1:6" ht="15" thickBot="1" x14ac:dyDescent="0.35">
      <c r="A99" s="3" t="s">
        <v>99</v>
      </c>
      <c r="B99" s="2" t="s">
        <v>19</v>
      </c>
      <c r="C99" s="2" t="s">
        <v>13</v>
      </c>
      <c r="D99" s="2" t="s">
        <v>9</v>
      </c>
      <c r="E99" s="2" t="s">
        <v>15</v>
      </c>
      <c r="F99" s="4">
        <v>2322.96</v>
      </c>
    </row>
    <row r="100" spans="1:6" ht="15" thickBot="1" x14ac:dyDescent="0.35">
      <c r="A100" s="3" t="s">
        <v>80</v>
      </c>
      <c r="B100" s="2" t="s">
        <v>17</v>
      </c>
      <c r="C100" s="2" t="s">
        <v>34</v>
      </c>
      <c r="D100" s="2" t="s">
        <v>28</v>
      </c>
      <c r="E100" s="2" t="s">
        <v>24</v>
      </c>
      <c r="F100" s="4">
        <v>4662.91</v>
      </c>
    </row>
    <row r="101" spans="1:6" ht="15" thickBot="1" x14ac:dyDescent="0.35">
      <c r="A101" s="3" t="s">
        <v>100</v>
      </c>
      <c r="B101" s="2" t="s">
        <v>7</v>
      </c>
      <c r="C101" s="2" t="s">
        <v>23</v>
      </c>
      <c r="D101" s="2" t="s">
        <v>28</v>
      </c>
      <c r="E101" s="2" t="s">
        <v>24</v>
      </c>
      <c r="F101" s="4">
        <v>1907.29</v>
      </c>
    </row>
    <row r="102" spans="1:6" ht="15" thickBot="1" x14ac:dyDescent="0.35">
      <c r="A102" s="3" t="s">
        <v>101</v>
      </c>
      <c r="B102" s="2" t="s">
        <v>19</v>
      </c>
      <c r="C102" s="2" t="s">
        <v>13</v>
      </c>
      <c r="D102" s="2" t="s">
        <v>9</v>
      </c>
      <c r="E102" s="2" t="s">
        <v>15</v>
      </c>
      <c r="F102" s="4">
        <v>1668.587237</v>
      </c>
    </row>
    <row r="103" spans="1:6" ht="15" thickBot="1" x14ac:dyDescent="0.35">
      <c r="A103" s="3" t="s">
        <v>102</v>
      </c>
      <c r="B103" s="2" t="s">
        <v>19</v>
      </c>
      <c r="C103" s="2" t="s">
        <v>34</v>
      </c>
      <c r="D103" s="2" t="s">
        <v>14</v>
      </c>
      <c r="E103" s="2" t="s">
        <v>24</v>
      </c>
      <c r="F103" s="4">
        <v>3260.51</v>
      </c>
    </row>
    <row r="104" spans="1:6" ht="15" thickBot="1" x14ac:dyDescent="0.35">
      <c r="A104" s="3" t="s">
        <v>103</v>
      </c>
      <c r="B104" s="2" t="s">
        <v>19</v>
      </c>
      <c r="C104" s="2" t="s">
        <v>8</v>
      </c>
      <c r="D104" s="2" t="s">
        <v>14</v>
      </c>
      <c r="E104" s="2" t="s">
        <v>10</v>
      </c>
      <c r="F104" s="4">
        <v>2218.4699999999998</v>
      </c>
    </row>
    <row r="105" spans="1:6" ht="15" thickBot="1" x14ac:dyDescent="0.35">
      <c r="A105" s="3" t="s">
        <v>78</v>
      </c>
      <c r="B105" s="2" t="s">
        <v>7</v>
      </c>
      <c r="C105" s="2" t="s">
        <v>34</v>
      </c>
      <c r="D105" s="2" t="s">
        <v>14</v>
      </c>
      <c r="E105" s="2" t="s">
        <v>10</v>
      </c>
      <c r="F105" s="4">
        <v>479.85</v>
      </c>
    </row>
    <row r="106" spans="1:6" ht="15" thickBot="1" x14ac:dyDescent="0.35">
      <c r="A106" s="3" t="s">
        <v>104</v>
      </c>
      <c r="B106" s="2" t="s">
        <v>17</v>
      </c>
      <c r="C106" s="2" t="s">
        <v>8</v>
      </c>
      <c r="D106" s="2" t="s">
        <v>28</v>
      </c>
      <c r="E106" s="2" t="s">
        <v>15</v>
      </c>
      <c r="F106" s="4">
        <v>401.65</v>
      </c>
    </row>
    <row r="107" spans="1:6" ht="15" thickBot="1" x14ac:dyDescent="0.35">
      <c r="A107" s="3" t="s">
        <v>105</v>
      </c>
      <c r="B107" s="2" t="s">
        <v>30</v>
      </c>
      <c r="C107" s="2" t="s">
        <v>34</v>
      </c>
      <c r="D107" s="2" t="s">
        <v>28</v>
      </c>
      <c r="E107" s="2" t="s">
        <v>24</v>
      </c>
      <c r="F107" s="4">
        <v>4844.9399999999996</v>
      </c>
    </row>
    <row r="108" spans="1:6" ht="15" thickBot="1" x14ac:dyDescent="0.35">
      <c r="A108" s="3" t="s">
        <v>106</v>
      </c>
      <c r="B108" s="2" t="s">
        <v>12</v>
      </c>
      <c r="C108" s="2" t="s">
        <v>34</v>
      </c>
      <c r="D108" s="2" t="s">
        <v>14</v>
      </c>
      <c r="E108" s="2" t="s">
        <v>10</v>
      </c>
      <c r="F108" s="4">
        <v>1954.31</v>
      </c>
    </row>
    <row r="109" spans="1:6" ht="15" thickBot="1" x14ac:dyDescent="0.35">
      <c r="A109" s="3" t="s">
        <v>66</v>
      </c>
      <c r="B109" s="2" t="s">
        <v>30</v>
      </c>
      <c r="C109" s="2" t="s">
        <v>23</v>
      </c>
      <c r="D109" s="2" t="s">
        <v>28</v>
      </c>
      <c r="E109" s="2" t="s">
        <v>15</v>
      </c>
      <c r="F109" s="4">
        <v>2094.86</v>
      </c>
    </row>
    <row r="110" spans="1:6" ht="15" thickBot="1" x14ac:dyDescent="0.35">
      <c r="A110" s="3" t="s">
        <v>107</v>
      </c>
      <c r="B110" s="2" t="s">
        <v>30</v>
      </c>
      <c r="C110" s="2" t="s">
        <v>8</v>
      </c>
      <c r="D110" s="2" t="s">
        <v>28</v>
      </c>
      <c r="E110" s="2" t="s">
        <v>24</v>
      </c>
      <c r="F110" s="4">
        <v>3876.8</v>
      </c>
    </row>
    <row r="111" spans="1:6" ht="15" thickBot="1" x14ac:dyDescent="0.35">
      <c r="A111" s="3" t="s">
        <v>45</v>
      </c>
      <c r="B111" s="2" t="s">
        <v>7</v>
      </c>
      <c r="C111" s="2" t="s">
        <v>34</v>
      </c>
      <c r="D111" s="2" t="s">
        <v>28</v>
      </c>
      <c r="E111" s="2" t="s">
        <v>10</v>
      </c>
      <c r="F111" s="4">
        <v>3209.34</v>
      </c>
    </row>
    <row r="112" spans="1:6" ht="15" thickBot="1" x14ac:dyDescent="0.35">
      <c r="A112" s="3" t="s">
        <v>108</v>
      </c>
      <c r="B112" s="2" t="s">
        <v>7</v>
      </c>
      <c r="C112" s="2" t="s">
        <v>8</v>
      </c>
      <c r="D112" s="2" t="s">
        <v>28</v>
      </c>
      <c r="E112" s="2" t="s">
        <v>24</v>
      </c>
      <c r="F112" s="4">
        <v>1290.4100000000001</v>
      </c>
    </row>
    <row r="113" spans="1:6" ht="15" thickBot="1" x14ac:dyDescent="0.35">
      <c r="A113" s="3" t="s">
        <v>42</v>
      </c>
      <c r="B113" s="2" t="s">
        <v>30</v>
      </c>
      <c r="C113" s="2" t="s">
        <v>13</v>
      </c>
      <c r="D113" s="2" t="s">
        <v>14</v>
      </c>
      <c r="E113" s="2" t="s">
        <v>24</v>
      </c>
      <c r="F113" s="4">
        <v>3768.03</v>
      </c>
    </row>
    <row r="114" spans="1:6" ht="15" thickBot="1" x14ac:dyDescent="0.35">
      <c r="A114" s="3" t="s">
        <v>109</v>
      </c>
      <c r="B114" s="2" t="s">
        <v>12</v>
      </c>
      <c r="C114" s="2" t="s">
        <v>8</v>
      </c>
      <c r="D114" s="2" t="s">
        <v>28</v>
      </c>
      <c r="E114" s="2" t="s">
        <v>10</v>
      </c>
      <c r="F114" s="4">
        <v>2209.6</v>
      </c>
    </row>
    <row r="115" spans="1:6" ht="15" thickBot="1" x14ac:dyDescent="0.35">
      <c r="A115" s="3" t="s">
        <v>110</v>
      </c>
      <c r="B115" s="2" t="s">
        <v>12</v>
      </c>
      <c r="C115" s="2" t="s">
        <v>34</v>
      </c>
      <c r="D115" s="2" t="s">
        <v>9</v>
      </c>
      <c r="E115" s="2" t="s">
        <v>24</v>
      </c>
      <c r="F115" s="4">
        <v>3789.17</v>
      </c>
    </row>
    <row r="116" spans="1:6" ht="15" thickBot="1" x14ac:dyDescent="0.35">
      <c r="A116" s="3" t="s">
        <v>111</v>
      </c>
      <c r="B116" s="2" t="s">
        <v>19</v>
      </c>
      <c r="C116" s="2" t="s">
        <v>8</v>
      </c>
      <c r="D116" s="2" t="s">
        <v>28</v>
      </c>
      <c r="E116" s="2" t="s">
        <v>10</v>
      </c>
      <c r="F116" s="4">
        <v>2970.05</v>
      </c>
    </row>
    <row r="117" spans="1:6" ht="15" thickBot="1" x14ac:dyDescent="0.35">
      <c r="A117" s="3" t="s">
        <v>112</v>
      </c>
      <c r="B117" s="2" t="s">
        <v>30</v>
      </c>
      <c r="C117" s="2" t="s">
        <v>23</v>
      </c>
      <c r="D117" s="2" t="s">
        <v>28</v>
      </c>
      <c r="E117" s="2" t="s">
        <v>10</v>
      </c>
      <c r="F117" s="4">
        <v>1858.31</v>
      </c>
    </row>
    <row r="118" spans="1:6" ht="15" thickBot="1" x14ac:dyDescent="0.35">
      <c r="A118" s="3" t="s">
        <v>62</v>
      </c>
      <c r="B118" s="2" t="s">
        <v>30</v>
      </c>
      <c r="C118" s="2" t="s">
        <v>8</v>
      </c>
      <c r="D118" s="2" t="s">
        <v>9</v>
      </c>
      <c r="E118" s="2" t="s">
        <v>10</v>
      </c>
      <c r="F118" s="4">
        <v>3702.9533959999999</v>
      </c>
    </row>
    <row r="119" spans="1:6" ht="15" thickBot="1" x14ac:dyDescent="0.35">
      <c r="A119" s="3" t="s">
        <v>113</v>
      </c>
      <c r="B119" s="2" t="s">
        <v>30</v>
      </c>
      <c r="C119" s="2" t="s">
        <v>23</v>
      </c>
      <c r="D119" s="2" t="s">
        <v>28</v>
      </c>
      <c r="E119" s="2" t="s">
        <v>10</v>
      </c>
      <c r="F119" s="4">
        <v>3276</v>
      </c>
    </row>
    <row r="120" spans="1:6" ht="15" thickBot="1" x14ac:dyDescent="0.35">
      <c r="A120" s="3" t="s">
        <v>114</v>
      </c>
      <c r="B120" s="2" t="s">
        <v>30</v>
      </c>
      <c r="C120" s="2" t="s">
        <v>8</v>
      </c>
      <c r="D120" s="2" t="s">
        <v>14</v>
      </c>
      <c r="E120" s="2" t="s">
        <v>24</v>
      </c>
      <c r="F120" s="4">
        <v>526.37</v>
      </c>
    </row>
    <row r="121" spans="1:6" ht="15" thickBot="1" x14ac:dyDescent="0.35">
      <c r="A121" s="3" t="s">
        <v>115</v>
      </c>
      <c r="B121" s="2" t="s">
        <v>19</v>
      </c>
      <c r="C121" s="2" t="s">
        <v>13</v>
      </c>
      <c r="D121" s="2" t="s">
        <v>14</v>
      </c>
      <c r="E121" s="2" t="s">
        <v>10</v>
      </c>
      <c r="F121" s="4">
        <v>445.6</v>
      </c>
    </row>
    <row r="122" spans="1:6" ht="15" thickBot="1" x14ac:dyDescent="0.35">
      <c r="A122" s="3" t="s">
        <v>116</v>
      </c>
      <c r="B122" s="2" t="s">
        <v>17</v>
      </c>
      <c r="C122" s="2" t="s">
        <v>34</v>
      </c>
      <c r="D122" s="2" t="s">
        <v>9</v>
      </c>
      <c r="E122" s="2" t="s">
        <v>15</v>
      </c>
      <c r="F122" s="4">
        <v>4486.2700949999999</v>
      </c>
    </row>
    <row r="123" spans="1:6" ht="15" thickBot="1" x14ac:dyDescent="0.35">
      <c r="A123" s="3" t="s">
        <v>111</v>
      </c>
      <c r="B123" s="2" t="s">
        <v>19</v>
      </c>
      <c r="C123" s="2" t="s">
        <v>13</v>
      </c>
      <c r="D123" s="2" t="s">
        <v>9</v>
      </c>
      <c r="E123" s="2" t="s">
        <v>15</v>
      </c>
      <c r="F123" s="4">
        <v>1770.5416849999999</v>
      </c>
    </row>
    <row r="124" spans="1:6" ht="15" thickBot="1" x14ac:dyDescent="0.35">
      <c r="A124" s="3" t="s">
        <v>102</v>
      </c>
      <c r="B124" s="2" t="s">
        <v>19</v>
      </c>
      <c r="C124" s="2" t="s">
        <v>34</v>
      </c>
      <c r="D124" s="2" t="s">
        <v>9</v>
      </c>
      <c r="E124" s="2" t="s">
        <v>24</v>
      </c>
      <c r="F124" s="4">
        <v>2762.189746</v>
      </c>
    </row>
    <row r="125" spans="1:6" ht="15" thickBot="1" x14ac:dyDescent="0.35">
      <c r="A125" s="3" t="s">
        <v>50</v>
      </c>
      <c r="B125" s="2" t="s">
        <v>19</v>
      </c>
      <c r="C125" s="2" t="s">
        <v>34</v>
      </c>
      <c r="D125" s="2" t="s">
        <v>14</v>
      </c>
      <c r="E125" s="2" t="s">
        <v>15</v>
      </c>
      <c r="F125" s="4">
        <v>1531.3</v>
      </c>
    </row>
    <row r="126" spans="1:6" ht="15" thickBot="1" x14ac:dyDescent="0.35">
      <c r="A126" s="3" t="s">
        <v>86</v>
      </c>
      <c r="B126" s="2" t="s">
        <v>19</v>
      </c>
      <c r="C126" s="2" t="s">
        <v>34</v>
      </c>
      <c r="D126" s="2" t="s">
        <v>9</v>
      </c>
      <c r="E126" s="2" t="s">
        <v>15</v>
      </c>
      <c r="F126" s="4">
        <v>4453.3686580000003</v>
      </c>
    </row>
    <row r="127" spans="1:6" ht="15" thickBot="1" x14ac:dyDescent="0.35">
      <c r="A127" s="3" t="s">
        <v>71</v>
      </c>
      <c r="B127" s="2" t="s">
        <v>7</v>
      </c>
      <c r="C127" s="2" t="s">
        <v>23</v>
      </c>
      <c r="D127" s="2" t="s">
        <v>28</v>
      </c>
      <c r="E127" s="2" t="s">
        <v>10</v>
      </c>
      <c r="F127" s="4">
        <v>4934.5600000000004</v>
      </c>
    </row>
    <row r="128" spans="1:6" ht="15" thickBot="1" x14ac:dyDescent="0.35">
      <c r="A128" s="3" t="s">
        <v>117</v>
      </c>
      <c r="B128" s="2" t="s">
        <v>7</v>
      </c>
      <c r="C128" s="2" t="s">
        <v>13</v>
      </c>
      <c r="D128" s="2" t="s">
        <v>14</v>
      </c>
      <c r="E128" s="2" t="s">
        <v>10</v>
      </c>
      <c r="F128" s="4">
        <v>1164.7</v>
      </c>
    </row>
    <row r="129" spans="1:6" ht="15" thickBot="1" x14ac:dyDescent="0.35">
      <c r="A129" s="3" t="s">
        <v>118</v>
      </c>
      <c r="B129" s="2" t="s">
        <v>30</v>
      </c>
      <c r="C129" s="2" t="s">
        <v>13</v>
      </c>
      <c r="D129" s="2" t="s">
        <v>14</v>
      </c>
      <c r="E129" s="2" t="s">
        <v>24</v>
      </c>
      <c r="F129" s="4">
        <v>2732.08</v>
      </c>
    </row>
    <row r="130" spans="1:6" ht="15" thickBot="1" x14ac:dyDescent="0.35">
      <c r="A130" s="3" t="s">
        <v>84</v>
      </c>
      <c r="B130" s="2" t="s">
        <v>30</v>
      </c>
      <c r="C130" s="2" t="s">
        <v>13</v>
      </c>
      <c r="D130" s="2" t="s">
        <v>9</v>
      </c>
      <c r="E130" s="2" t="s">
        <v>10</v>
      </c>
      <c r="F130" s="4">
        <v>3114.4974299999999</v>
      </c>
    </row>
    <row r="131" spans="1:6" ht="15" thickBot="1" x14ac:dyDescent="0.35">
      <c r="A131" s="3" t="s">
        <v>119</v>
      </c>
      <c r="B131" s="2" t="s">
        <v>30</v>
      </c>
      <c r="C131" s="2" t="s">
        <v>23</v>
      </c>
      <c r="D131" s="2" t="s">
        <v>14</v>
      </c>
      <c r="E131" s="2" t="s">
        <v>10</v>
      </c>
      <c r="F131" s="4">
        <v>3329.18</v>
      </c>
    </row>
    <row r="132" spans="1:6" ht="15" thickBot="1" x14ac:dyDescent="0.35">
      <c r="A132" s="3" t="s">
        <v>120</v>
      </c>
      <c r="B132" s="2" t="s">
        <v>30</v>
      </c>
      <c r="C132" s="2" t="s">
        <v>23</v>
      </c>
      <c r="D132" s="2" t="s">
        <v>28</v>
      </c>
      <c r="E132" s="2" t="s">
        <v>10</v>
      </c>
      <c r="F132" s="4">
        <v>3195.93</v>
      </c>
    </row>
    <row r="133" spans="1:6" ht="15" thickBot="1" x14ac:dyDescent="0.35">
      <c r="A133" s="3" t="s">
        <v>91</v>
      </c>
      <c r="B133" s="2" t="s">
        <v>30</v>
      </c>
      <c r="C133" s="2" t="s">
        <v>8</v>
      </c>
      <c r="D133" s="2" t="s">
        <v>28</v>
      </c>
      <c r="E133" s="2" t="s">
        <v>15</v>
      </c>
      <c r="F133" s="4">
        <v>1246.5</v>
      </c>
    </row>
    <row r="134" spans="1:6" ht="15" thickBot="1" x14ac:dyDescent="0.35">
      <c r="A134" s="3" t="s">
        <v>121</v>
      </c>
      <c r="B134" s="2" t="s">
        <v>30</v>
      </c>
      <c r="C134" s="2" t="s">
        <v>8</v>
      </c>
      <c r="D134" s="2" t="s">
        <v>28</v>
      </c>
      <c r="E134" s="2" t="s">
        <v>10</v>
      </c>
      <c r="F134" s="4">
        <v>2737.6</v>
      </c>
    </row>
    <row r="135" spans="1:6" ht="15" thickBot="1" x14ac:dyDescent="0.35">
      <c r="A135" s="3" t="s">
        <v>122</v>
      </c>
      <c r="B135" s="2" t="s">
        <v>19</v>
      </c>
      <c r="C135" s="2" t="s">
        <v>34</v>
      </c>
      <c r="D135" s="2" t="s">
        <v>28</v>
      </c>
      <c r="E135" s="2" t="s">
        <v>15</v>
      </c>
      <c r="F135" s="4">
        <v>1722.2</v>
      </c>
    </row>
    <row r="136" spans="1:6" ht="15" thickBot="1" x14ac:dyDescent="0.35">
      <c r="A136" s="3" t="s">
        <v>123</v>
      </c>
      <c r="B136" s="2" t="s">
        <v>30</v>
      </c>
      <c r="C136" s="2" t="s">
        <v>8</v>
      </c>
      <c r="D136" s="2" t="s">
        <v>14</v>
      </c>
      <c r="E136" s="2" t="s">
        <v>15</v>
      </c>
      <c r="F136" s="4">
        <v>4036.12</v>
      </c>
    </row>
    <row r="137" spans="1:6" ht="15" thickBot="1" x14ac:dyDescent="0.35">
      <c r="A137" s="3" t="s">
        <v>124</v>
      </c>
      <c r="B137" s="2" t="s">
        <v>12</v>
      </c>
      <c r="C137" s="2" t="s">
        <v>23</v>
      </c>
      <c r="D137" s="2" t="s">
        <v>28</v>
      </c>
      <c r="E137" s="2" t="s">
        <v>10</v>
      </c>
      <c r="F137" s="4">
        <v>897.74</v>
      </c>
    </row>
    <row r="138" spans="1:6" ht="15" thickBot="1" x14ac:dyDescent="0.35">
      <c r="A138" s="3" t="s">
        <v>125</v>
      </c>
      <c r="B138" s="2" t="s">
        <v>7</v>
      </c>
      <c r="C138" s="2" t="s">
        <v>23</v>
      </c>
      <c r="D138" s="2" t="s">
        <v>14</v>
      </c>
      <c r="E138" s="2" t="s">
        <v>10</v>
      </c>
      <c r="F138" s="4">
        <v>1853.54</v>
      </c>
    </row>
    <row r="139" spans="1:6" ht="15" thickBot="1" x14ac:dyDescent="0.35">
      <c r="A139" s="3" t="s">
        <v>121</v>
      </c>
      <c r="B139" s="2" t="s">
        <v>30</v>
      </c>
      <c r="C139" s="2" t="s">
        <v>34</v>
      </c>
      <c r="D139" s="2" t="s">
        <v>14</v>
      </c>
      <c r="E139" s="2" t="s">
        <v>15</v>
      </c>
      <c r="F139" s="4">
        <v>4674.16</v>
      </c>
    </row>
    <row r="140" spans="1:6" ht="15" thickBot="1" x14ac:dyDescent="0.35">
      <c r="A140" s="3" t="s">
        <v>123</v>
      </c>
      <c r="B140" s="2" t="s">
        <v>30</v>
      </c>
      <c r="C140" s="2" t="s">
        <v>13</v>
      </c>
      <c r="D140" s="2" t="s">
        <v>9</v>
      </c>
      <c r="E140" s="2" t="s">
        <v>15</v>
      </c>
      <c r="F140" s="4">
        <v>4723.6000000000004</v>
      </c>
    </row>
    <row r="141" spans="1:6" ht="15" thickBot="1" x14ac:dyDescent="0.35">
      <c r="A141" s="3" t="s">
        <v>117</v>
      </c>
      <c r="B141" s="2" t="s">
        <v>7</v>
      </c>
      <c r="C141" s="2" t="s">
        <v>23</v>
      </c>
      <c r="D141" s="2" t="s">
        <v>9</v>
      </c>
      <c r="E141" s="2" t="s">
        <v>10</v>
      </c>
      <c r="F141" s="4">
        <v>3244.2138880000002</v>
      </c>
    </row>
    <row r="142" spans="1:6" ht="15" thickBot="1" x14ac:dyDescent="0.35">
      <c r="A142" s="3" t="s">
        <v>18</v>
      </c>
      <c r="B142" s="2" t="s">
        <v>19</v>
      </c>
      <c r="C142" s="2" t="s">
        <v>13</v>
      </c>
      <c r="D142" s="2" t="s">
        <v>14</v>
      </c>
      <c r="E142" s="2" t="s">
        <v>24</v>
      </c>
      <c r="F142" s="4">
        <v>980.22</v>
      </c>
    </row>
    <row r="143" spans="1:6" ht="15" thickBot="1" x14ac:dyDescent="0.35">
      <c r="A143" s="3" t="s">
        <v>126</v>
      </c>
      <c r="B143" s="2" t="s">
        <v>30</v>
      </c>
      <c r="C143" s="2" t="s">
        <v>8</v>
      </c>
      <c r="D143" s="2" t="s">
        <v>28</v>
      </c>
      <c r="E143" s="2" t="s">
        <v>15</v>
      </c>
      <c r="F143" s="4">
        <v>4810.13</v>
      </c>
    </row>
    <row r="144" spans="1:6" ht="15" thickBot="1" x14ac:dyDescent="0.35">
      <c r="A144" s="3" t="s">
        <v>127</v>
      </c>
      <c r="B144" s="2" t="s">
        <v>17</v>
      </c>
      <c r="C144" s="2" t="s">
        <v>23</v>
      </c>
      <c r="D144" s="2" t="s">
        <v>28</v>
      </c>
      <c r="E144" s="2" t="s">
        <v>24</v>
      </c>
      <c r="F144" s="4">
        <v>3868.27</v>
      </c>
    </row>
    <row r="145" spans="1:6" ht="15" thickBot="1" x14ac:dyDescent="0.35">
      <c r="A145" s="3" t="s">
        <v>114</v>
      </c>
      <c r="B145" s="2" t="s">
        <v>30</v>
      </c>
      <c r="C145" s="2" t="s">
        <v>8</v>
      </c>
      <c r="D145" s="2" t="s">
        <v>28</v>
      </c>
      <c r="E145" s="2" t="s">
        <v>24</v>
      </c>
      <c r="F145" s="4">
        <v>714.41</v>
      </c>
    </row>
    <row r="146" spans="1:6" ht="15" thickBot="1" x14ac:dyDescent="0.35">
      <c r="A146" s="3" t="s">
        <v>117</v>
      </c>
      <c r="B146" s="2" t="s">
        <v>7</v>
      </c>
      <c r="C146" s="2" t="s">
        <v>13</v>
      </c>
      <c r="D146" s="2" t="s">
        <v>9</v>
      </c>
      <c r="E146" s="2" t="s">
        <v>10</v>
      </c>
      <c r="F146" s="4">
        <v>1121.057894</v>
      </c>
    </row>
    <row r="147" spans="1:6" ht="15" thickBot="1" x14ac:dyDescent="0.35">
      <c r="A147" s="3" t="s">
        <v>128</v>
      </c>
      <c r="B147" s="2" t="s">
        <v>12</v>
      </c>
      <c r="C147" s="2" t="s">
        <v>13</v>
      </c>
      <c r="D147" s="2" t="s">
        <v>9</v>
      </c>
      <c r="E147" s="2" t="s">
        <v>24</v>
      </c>
      <c r="F147" s="4">
        <v>1645.674403</v>
      </c>
    </row>
    <row r="148" spans="1:6" ht="15" thickBot="1" x14ac:dyDescent="0.35">
      <c r="A148" s="3" t="s">
        <v>129</v>
      </c>
      <c r="B148" s="2" t="s">
        <v>17</v>
      </c>
      <c r="C148" s="2" t="s">
        <v>34</v>
      </c>
      <c r="D148" s="2" t="s">
        <v>9</v>
      </c>
      <c r="E148" s="2" t="s">
        <v>15</v>
      </c>
      <c r="F148" s="4">
        <v>3519.7372449999998</v>
      </c>
    </row>
    <row r="149" spans="1:6" ht="15" thickBot="1" x14ac:dyDescent="0.35">
      <c r="A149" s="3" t="s">
        <v>82</v>
      </c>
      <c r="B149" s="2" t="s">
        <v>17</v>
      </c>
      <c r="C149" s="2" t="s">
        <v>34</v>
      </c>
      <c r="D149" s="2" t="s">
        <v>9</v>
      </c>
      <c r="E149" s="2" t="s">
        <v>24</v>
      </c>
      <c r="F149" s="4">
        <v>2222.6799999999998</v>
      </c>
    </row>
    <row r="150" spans="1:6" ht="15" thickBot="1" x14ac:dyDescent="0.35">
      <c r="A150" s="3" t="s">
        <v>80</v>
      </c>
      <c r="B150" s="2" t="s">
        <v>17</v>
      </c>
      <c r="C150" s="2" t="s">
        <v>34</v>
      </c>
      <c r="D150" s="2" t="s">
        <v>14</v>
      </c>
      <c r="E150" s="2" t="s">
        <v>15</v>
      </c>
      <c r="F150" s="4">
        <v>261.56</v>
      </c>
    </row>
    <row r="151" spans="1:6" ht="15" thickBot="1" x14ac:dyDescent="0.35">
      <c r="A151" s="3" t="s">
        <v>63</v>
      </c>
      <c r="B151" s="2" t="s">
        <v>12</v>
      </c>
      <c r="C151" s="2" t="s">
        <v>34</v>
      </c>
      <c r="D151" s="2" t="s">
        <v>9</v>
      </c>
      <c r="E151" s="2" t="s">
        <v>24</v>
      </c>
      <c r="F151" s="4">
        <v>4724.5603350000001</v>
      </c>
    </row>
    <row r="152" spans="1:6" ht="15" thickBot="1" x14ac:dyDescent="0.35">
      <c r="A152" s="3" t="s">
        <v>130</v>
      </c>
      <c r="B152" s="2" t="s">
        <v>12</v>
      </c>
      <c r="C152" s="2" t="s">
        <v>13</v>
      </c>
      <c r="D152" s="2" t="s">
        <v>14</v>
      </c>
      <c r="E152" s="2" t="s">
        <v>10</v>
      </c>
      <c r="F152" s="4">
        <v>1696.11</v>
      </c>
    </row>
    <row r="153" spans="1:6" ht="15" thickBot="1" x14ac:dyDescent="0.35">
      <c r="A153" s="3" t="s">
        <v>131</v>
      </c>
      <c r="B153" s="2" t="s">
        <v>17</v>
      </c>
      <c r="C153" s="2" t="s">
        <v>13</v>
      </c>
      <c r="D153" s="2" t="s">
        <v>28</v>
      </c>
      <c r="E153" s="2" t="s">
        <v>24</v>
      </c>
      <c r="F153" s="4">
        <v>1447.34</v>
      </c>
    </row>
    <row r="154" spans="1:6" ht="15" thickBot="1" x14ac:dyDescent="0.35">
      <c r="A154" s="3" t="s">
        <v>132</v>
      </c>
      <c r="B154" s="2" t="s">
        <v>19</v>
      </c>
      <c r="C154" s="2" t="s">
        <v>13</v>
      </c>
      <c r="D154" s="2" t="s">
        <v>14</v>
      </c>
      <c r="E154" s="2" t="s">
        <v>24</v>
      </c>
      <c r="F154" s="4">
        <v>3456.69</v>
      </c>
    </row>
    <row r="155" spans="1:6" ht="15" thickBot="1" x14ac:dyDescent="0.35">
      <c r="A155" s="3" t="s">
        <v>47</v>
      </c>
      <c r="B155" s="2" t="s">
        <v>30</v>
      </c>
      <c r="C155" s="2" t="s">
        <v>34</v>
      </c>
      <c r="D155" s="2" t="s">
        <v>28</v>
      </c>
      <c r="E155" s="2" t="s">
        <v>10</v>
      </c>
      <c r="F155" s="4">
        <v>1842.07</v>
      </c>
    </row>
    <row r="156" spans="1:6" ht="15" thickBot="1" x14ac:dyDescent="0.35">
      <c r="A156" s="3" t="s">
        <v>133</v>
      </c>
      <c r="B156" s="2" t="s">
        <v>17</v>
      </c>
      <c r="C156" s="2" t="s">
        <v>13</v>
      </c>
      <c r="D156" s="2" t="s">
        <v>9</v>
      </c>
      <c r="E156" s="2" t="s">
        <v>15</v>
      </c>
      <c r="F156" s="4">
        <v>670.69</v>
      </c>
    </row>
    <row r="157" spans="1:6" ht="15" thickBot="1" x14ac:dyDescent="0.35">
      <c r="A157" s="3" t="s">
        <v>134</v>
      </c>
      <c r="B157" s="2" t="s">
        <v>7</v>
      </c>
      <c r="C157" s="2" t="s">
        <v>23</v>
      </c>
      <c r="D157" s="2" t="s">
        <v>9</v>
      </c>
      <c r="E157" s="2" t="s">
        <v>15</v>
      </c>
      <c r="F157" s="4">
        <v>1143.20198</v>
      </c>
    </row>
    <row r="158" spans="1:6" ht="15" thickBot="1" x14ac:dyDescent="0.35">
      <c r="A158" s="3" t="s">
        <v>80</v>
      </c>
      <c r="B158" s="2" t="s">
        <v>17</v>
      </c>
      <c r="C158" s="2" t="s">
        <v>23</v>
      </c>
      <c r="D158" s="2" t="s">
        <v>9</v>
      </c>
      <c r="E158" s="2" t="s">
        <v>10</v>
      </c>
      <c r="F158" s="4">
        <v>3475.5149740000002</v>
      </c>
    </row>
    <row r="159" spans="1:6" ht="15" thickBot="1" x14ac:dyDescent="0.35">
      <c r="A159" s="3" t="s">
        <v>92</v>
      </c>
      <c r="B159" s="2" t="s">
        <v>30</v>
      </c>
      <c r="C159" s="2" t="s">
        <v>34</v>
      </c>
      <c r="D159" s="2" t="s">
        <v>28</v>
      </c>
      <c r="E159" s="2" t="s">
        <v>10</v>
      </c>
      <c r="F159" s="4">
        <v>1313.1</v>
      </c>
    </row>
    <row r="160" spans="1:6" ht="15" thickBot="1" x14ac:dyDescent="0.35">
      <c r="A160" s="3" t="s">
        <v>90</v>
      </c>
      <c r="B160" s="2" t="s">
        <v>19</v>
      </c>
      <c r="C160" s="2" t="s">
        <v>13</v>
      </c>
      <c r="D160" s="2" t="s">
        <v>14</v>
      </c>
      <c r="E160" s="2" t="s">
        <v>24</v>
      </c>
      <c r="F160" s="4">
        <v>2271.65</v>
      </c>
    </row>
    <row r="161" spans="1:6" ht="15" thickBot="1" x14ac:dyDescent="0.35">
      <c r="A161" s="3" t="s">
        <v>80</v>
      </c>
      <c r="B161" s="2" t="s">
        <v>17</v>
      </c>
      <c r="C161" s="2" t="s">
        <v>8</v>
      </c>
      <c r="D161" s="2" t="s">
        <v>9</v>
      </c>
      <c r="E161" s="2" t="s">
        <v>15</v>
      </c>
      <c r="F161" s="4">
        <v>4185.7462960000003</v>
      </c>
    </row>
    <row r="162" spans="1:6" ht="15" thickBot="1" x14ac:dyDescent="0.35">
      <c r="A162" s="3" t="s">
        <v>86</v>
      </c>
      <c r="B162" s="2" t="s">
        <v>19</v>
      </c>
      <c r="C162" s="2" t="s">
        <v>13</v>
      </c>
      <c r="D162" s="2" t="s">
        <v>9</v>
      </c>
      <c r="E162" s="2" t="s">
        <v>10</v>
      </c>
      <c r="F162" s="4">
        <v>704.33660399999997</v>
      </c>
    </row>
    <row r="163" spans="1:6" ht="15" thickBot="1" x14ac:dyDescent="0.35">
      <c r="A163" s="3" t="s">
        <v>135</v>
      </c>
      <c r="B163" s="2" t="s">
        <v>12</v>
      </c>
      <c r="C163" s="2" t="s">
        <v>8</v>
      </c>
      <c r="D163" s="2" t="s">
        <v>9</v>
      </c>
      <c r="E163" s="2" t="s">
        <v>24</v>
      </c>
      <c r="F163" s="4">
        <v>801.11</v>
      </c>
    </row>
    <row r="164" spans="1:6" ht="15" thickBot="1" x14ac:dyDescent="0.35">
      <c r="A164" s="3" t="s">
        <v>21</v>
      </c>
      <c r="B164" s="2" t="s">
        <v>19</v>
      </c>
      <c r="C164" s="2" t="s">
        <v>13</v>
      </c>
      <c r="D164" s="2" t="s">
        <v>14</v>
      </c>
      <c r="E164" s="2" t="s">
        <v>10</v>
      </c>
      <c r="F164" s="4">
        <v>1685.02</v>
      </c>
    </row>
    <row r="165" spans="1:6" ht="15" thickBot="1" x14ac:dyDescent="0.35">
      <c r="A165" s="3" t="s">
        <v>132</v>
      </c>
      <c r="B165" s="2" t="s">
        <v>19</v>
      </c>
      <c r="C165" s="2" t="s">
        <v>8</v>
      </c>
      <c r="D165" s="2" t="s">
        <v>14</v>
      </c>
      <c r="E165" s="2" t="s">
        <v>10</v>
      </c>
      <c r="F165" s="4">
        <v>4811.95</v>
      </c>
    </row>
    <row r="166" spans="1:6" ht="15" thickBot="1" x14ac:dyDescent="0.35">
      <c r="A166" s="3" t="s">
        <v>136</v>
      </c>
      <c r="B166" s="2" t="s">
        <v>17</v>
      </c>
      <c r="C166" s="2" t="s">
        <v>23</v>
      </c>
      <c r="D166" s="2" t="s">
        <v>9</v>
      </c>
      <c r="E166" s="2" t="s">
        <v>24</v>
      </c>
      <c r="F166" s="4">
        <v>5093.5156129999996</v>
      </c>
    </row>
    <row r="167" spans="1:6" ht="15" thickBot="1" x14ac:dyDescent="0.35">
      <c r="A167" s="3" t="s">
        <v>120</v>
      </c>
      <c r="B167" s="2" t="s">
        <v>30</v>
      </c>
      <c r="C167" s="2" t="s">
        <v>23</v>
      </c>
      <c r="D167" s="2" t="s">
        <v>9</v>
      </c>
      <c r="E167" s="2" t="s">
        <v>24</v>
      </c>
      <c r="F167" s="4">
        <v>4205.3747649999996</v>
      </c>
    </row>
    <row r="168" spans="1:6" ht="15" thickBot="1" x14ac:dyDescent="0.35">
      <c r="A168" s="3" t="s">
        <v>56</v>
      </c>
      <c r="B168" s="2" t="s">
        <v>19</v>
      </c>
      <c r="C168" s="2" t="s">
        <v>23</v>
      </c>
      <c r="D168" s="2" t="s">
        <v>9</v>
      </c>
      <c r="E168" s="2" t="s">
        <v>15</v>
      </c>
      <c r="F168" s="4">
        <v>1288.354116</v>
      </c>
    </row>
    <row r="169" spans="1:6" ht="15" thickBot="1" x14ac:dyDescent="0.35">
      <c r="A169" s="3" t="s">
        <v>93</v>
      </c>
      <c r="B169" s="2" t="s">
        <v>30</v>
      </c>
      <c r="C169" s="2" t="s">
        <v>8</v>
      </c>
      <c r="D169" s="2" t="s">
        <v>14</v>
      </c>
      <c r="E169" s="2" t="s">
        <v>24</v>
      </c>
      <c r="F169" s="4">
        <v>2663.02</v>
      </c>
    </row>
    <row r="170" spans="1:6" ht="15" thickBot="1" x14ac:dyDescent="0.35">
      <c r="A170" s="3" t="s">
        <v>136</v>
      </c>
      <c r="B170" s="2" t="s">
        <v>17</v>
      </c>
      <c r="C170" s="2" t="s">
        <v>8</v>
      </c>
      <c r="D170" s="2" t="s">
        <v>14</v>
      </c>
      <c r="E170" s="2" t="s">
        <v>10</v>
      </c>
      <c r="F170" s="4">
        <v>2844.55</v>
      </c>
    </row>
    <row r="171" spans="1:6" ht="15" thickBot="1" x14ac:dyDescent="0.35">
      <c r="A171" s="3" t="s">
        <v>137</v>
      </c>
      <c r="B171" s="2" t="s">
        <v>17</v>
      </c>
      <c r="C171" s="2" t="s">
        <v>13</v>
      </c>
      <c r="D171" s="2" t="s">
        <v>28</v>
      </c>
      <c r="E171" s="2" t="s">
        <v>10</v>
      </c>
      <c r="F171" s="4">
        <v>1998.08</v>
      </c>
    </row>
    <row r="172" spans="1:6" ht="15" thickBot="1" x14ac:dyDescent="0.35">
      <c r="A172" s="3" t="s">
        <v>53</v>
      </c>
      <c r="B172" s="2" t="s">
        <v>7</v>
      </c>
      <c r="C172" s="2" t="s">
        <v>23</v>
      </c>
      <c r="D172" s="2" t="s">
        <v>14</v>
      </c>
      <c r="E172" s="2" t="s">
        <v>10</v>
      </c>
      <c r="F172" s="4">
        <v>241.97</v>
      </c>
    </row>
    <row r="173" spans="1:6" ht="15" thickBot="1" x14ac:dyDescent="0.35">
      <c r="A173" s="3" t="s">
        <v>138</v>
      </c>
      <c r="B173" s="2" t="s">
        <v>12</v>
      </c>
      <c r="C173" s="2" t="s">
        <v>13</v>
      </c>
      <c r="D173" s="2" t="s">
        <v>9</v>
      </c>
      <c r="E173" s="2" t="s">
        <v>15</v>
      </c>
      <c r="F173" s="4">
        <v>2907.8946660000001</v>
      </c>
    </row>
    <row r="174" spans="1:6" ht="15" thickBot="1" x14ac:dyDescent="0.35">
      <c r="A174" s="3" t="s">
        <v>64</v>
      </c>
      <c r="B174" s="2" t="s">
        <v>30</v>
      </c>
      <c r="C174" s="2" t="s">
        <v>23</v>
      </c>
      <c r="D174" s="2" t="s">
        <v>9</v>
      </c>
      <c r="E174" s="2" t="s">
        <v>15</v>
      </c>
      <c r="F174" s="4">
        <v>4728.95</v>
      </c>
    </row>
    <row r="175" spans="1:6" ht="15" thickBot="1" x14ac:dyDescent="0.35">
      <c r="A175" s="3" t="s">
        <v>50</v>
      </c>
      <c r="B175" s="2" t="s">
        <v>19</v>
      </c>
      <c r="C175" s="2" t="s">
        <v>13</v>
      </c>
      <c r="D175" s="2" t="s">
        <v>14</v>
      </c>
      <c r="E175" s="2" t="s">
        <v>24</v>
      </c>
      <c r="F175" s="4">
        <v>4265.8500000000004</v>
      </c>
    </row>
    <row r="176" spans="1:6" ht="15" thickBot="1" x14ac:dyDescent="0.35">
      <c r="A176" s="3" t="s">
        <v>139</v>
      </c>
      <c r="B176" s="2" t="s">
        <v>7</v>
      </c>
      <c r="C176" s="2" t="s">
        <v>23</v>
      </c>
      <c r="D176" s="2" t="s">
        <v>9</v>
      </c>
      <c r="E176" s="2" t="s">
        <v>24</v>
      </c>
      <c r="F176" s="4">
        <v>2361.5527539999998</v>
      </c>
    </row>
    <row r="177" spans="1:6" ht="15" thickBot="1" x14ac:dyDescent="0.35">
      <c r="A177" s="3" t="s">
        <v>58</v>
      </c>
      <c r="B177" s="2" t="s">
        <v>17</v>
      </c>
      <c r="C177" s="2" t="s">
        <v>23</v>
      </c>
      <c r="D177" s="2" t="s">
        <v>14</v>
      </c>
      <c r="E177" s="2" t="s">
        <v>10</v>
      </c>
      <c r="F177" s="4">
        <v>235.74</v>
      </c>
    </row>
    <row r="178" spans="1:6" ht="15" thickBot="1" x14ac:dyDescent="0.35">
      <c r="A178" s="3" t="s">
        <v>88</v>
      </c>
      <c r="B178" s="2" t="s">
        <v>7</v>
      </c>
      <c r="C178" s="2" t="s">
        <v>23</v>
      </c>
      <c r="D178" s="2" t="s">
        <v>28</v>
      </c>
      <c r="E178" s="2" t="s">
        <v>10</v>
      </c>
      <c r="F178" s="4">
        <v>2737</v>
      </c>
    </row>
    <row r="179" spans="1:6" ht="15" thickBot="1" x14ac:dyDescent="0.35">
      <c r="A179" s="3" t="s">
        <v>140</v>
      </c>
      <c r="B179" s="2" t="s">
        <v>17</v>
      </c>
      <c r="C179" s="2" t="s">
        <v>8</v>
      </c>
      <c r="D179" s="2" t="s">
        <v>28</v>
      </c>
      <c r="E179" s="2" t="s">
        <v>15</v>
      </c>
      <c r="F179" s="4">
        <v>1539.15</v>
      </c>
    </row>
    <row r="180" spans="1:6" ht="15" thickBot="1" x14ac:dyDescent="0.35">
      <c r="A180" s="3" t="s">
        <v>82</v>
      </c>
      <c r="B180" s="2" t="s">
        <v>17</v>
      </c>
      <c r="C180" s="2" t="s">
        <v>8</v>
      </c>
      <c r="D180" s="2" t="s">
        <v>28</v>
      </c>
      <c r="E180" s="2" t="s">
        <v>10</v>
      </c>
      <c r="F180" s="4">
        <v>502.47</v>
      </c>
    </row>
    <row r="181" spans="1:6" ht="15" thickBot="1" x14ac:dyDescent="0.35">
      <c r="A181" s="3" t="s">
        <v>120</v>
      </c>
      <c r="B181" s="2" t="s">
        <v>30</v>
      </c>
      <c r="C181" s="2" t="s">
        <v>8</v>
      </c>
      <c r="D181" s="2" t="s">
        <v>14</v>
      </c>
      <c r="E181" s="2" t="s">
        <v>15</v>
      </c>
      <c r="F181" s="4">
        <v>2710.93</v>
      </c>
    </row>
    <row r="182" spans="1:6" ht="15" thickBot="1" x14ac:dyDescent="0.35">
      <c r="A182" s="3" t="s">
        <v>141</v>
      </c>
      <c r="B182" s="2" t="s">
        <v>7</v>
      </c>
      <c r="C182" s="2" t="s">
        <v>34</v>
      </c>
      <c r="D182" s="2" t="s">
        <v>9</v>
      </c>
      <c r="E182" s="2" t="s">
        <v>10</v>
      </c>
      <c r="F182" s="4">
        <v>2286.2420430000002</v>
      </c>
    </row>
    <row r="183" spans="1:6" ht="15" thickBot="1" x14ac:dyDescent="0.35">
      <c r="A183" s="3" t="s">
        <v>21</v>
      </c>
      <c r="B183" s="2" t="s">
        <v>19</v>
      </c>
      <c r="C183" s="2" t="s">
        <v>23</v>
      </c>
      <c r="D183" s="2" t="s">
        <v>9</v>
      </c>
      <c r="E183" s="2" t="s">
        <v>10</v>
      </c>
      <c r="F183" s="4">
        <v>3819.978924</v>
      </c>
    </row>
    <row r="184" spans="1:6" ht="15" thickBot="1" x14ac:dyDescent="0.35">
      <c r="A184" s="3" t="s">
        <v>62</v>
      </c>
      <c r="B184" s="2" t="s">
        <v>30</v>
      </c>
      <c r="C184" s="2" t="s">
        <v>8</v>
      </c>
      <c r="D184" s="2" t="s">
        <v>14</v>
      </c>
      <c r="E184" s="2" t="s">
        <v>15</v>
      </c>
      <c r="F184" s="4">
        <v>2138.08</v>
      </c>
    </row>
    <row r="185" spans="1:6" ht="15" thickBot="1" x14ac:dyDescent="0.35">
      <c r="A185" s="3" t="s">
        <v>142</v>
      </c>
      <c r="B185" s="2" t="s">
        <v>17</v>
      </c>
      <c r="C185" s="2" t="s">
        <v>8</v>
      </c>
      <c r="D185" s="2" t="s">
        <v>28</v>
      </c>
      <c r="E185" s="2" t="s">
        <v>24</v>
      </c>
      <c r="F185" s="4">
        <v>747.74</v>
      </c>
    </row>
    <row r="186" spans="1:6" ht="15" thickBot="1" x14ac:dyDescent="0.35">
      <c r="A186" s="3" t="s">
        <v>143</v>
      </c>
      <c r="B186" s="2" t="s">
        <v>17</v>
      </c>
      <c r="C186" s="2" t="s">
        <v>34</v>
      </c>
      <c r="D186" s="2" t="s">
        <v>28</v>
      </c>
      <c r="E186" s="2" t="s">
        <v>24</v>
      </c>
      <c r="F186" s="4">
        <v>1025.55</v>
      </c>
    </row>
    <row r="187" spans="1:6" ht="15" thickBot="1" x14ac:dyDescent="0.35">
      <c r="A187" s="3" t="s">
        <v>144</v>
      </c>
      <c r="B187" s="2" t="s">
        <v>30</v>
      </c>
      <c r="C187" s="2" t="s">
        <v>8</v>
      </c>
      <c r="D187" s="2" t="s">
        <v>9</v>
      </c>
      <c r="E187" s="2" t="s">
        <v>15</v>
      </c>
      <c r="F187" s="4">
        <v>3382</v>
      </c>
    </row>
    <row r="188" spans="1:6" ht="15" thickBot="1" x14ac:dyDescent="0.35">
      <c r="A188" s="3" t="s">
        <v>145</v>
      </c>
      <c r="B188" s="2" t="s">
        <v>7</v>
      </c>
      <c r="C188" s="2" t="s">
        <v>23</v>
      </c>
      <c r="D188" s="2" t="s">
        <v>14</v>
      </c>
      <c r="E188" s="2" t="s">
        <v>24</v>
      </c>
      <c r="F188" s="4">
        <v>1772.18</v>
      </c>
    </row>
    <row r="189" spans="1:6" ht="15" thickBot="1" x14ac:dyDescent="0.35">
      <c r="A189" s="3" t="s">
        <v>81</v>
      </c>
      <c r="B189" s="2" t="s">
        <v>12</v>
      </c>
      <c r="C189" s="2" t="s">
        <v>13</v>
      </c>
      <c r="D189" s="2" t="s">
        <v>28</v>
      </c>
      <c r="E189" s="2" t="s">
        <v>24</v>
      </c>
      <c r="F189" s="4">
        <v>2150.66</v>
      </c>
    </row>
    <row r="190" spans="1:6" ht="15" thickBot="1" x14ac:dyDescent="0.35">
      <c r="A190" s="3" t="s">
        <v>129</v>
      </c>
      <c r="B190" s="2" t="s">
        <v>17</v>
      </c>
      <c r="C190" s="2" t="s">
        <v>34</v>
      </c>
      <c r="D190" s="2" t="s">
        <v>14</v>
      </c>
      <c r="E190" s="2" t="s">
        <v>15</v>
      </c>
      <c r="F190" s="4">
        <v>3214.91</v>
      </c>
    </row>
    <row r="191" spans="1:6" ht="15" thickBot="1" x14ac:dyDescent="0.35">
      <c r="A191" s="3" t="s">
        <v>54</v>
      </c>
      <c r="B191" s="2" t="s">
        <v>12</v>
      </c>
      <c r="C191" s="2" t="s">
        <v>34</v>
      </c>
      <c r="D191" s="2" t="s">
        <v>14</v>
      </c>
      <c r="E191" s="2" t="s">
        <v>24</v>
      </c>
      <c r="F191" s="4">
        <v>1475.38</v>
      </c>
    </row>
    <row r="192" spans="1:6" ht="15" thickBot="1" x14ac:dyDescent="0.35">
      <c r="A192" s="3" t="s">
        <v>26</v>
      </c>
      <c r="B192" s="2" t="s">
        <v>17</v>
      </c>
      <c r="C192" s="2" t="s">
        <v>8</v>
      </c>
      <c r="D192" s="2" t="s">
        <v>28</v>
      </c>
      <c r="E192" s="2" t="s">
        <v>24</v>
      </c>
      <c r="F192" s="4">
        <v>2631.42</v>
      </c>
    </row>
    <row r="193" spans="1:6" ht="15" thickBot="1" x14ac:dyDescent="0.35">
      <c r="A193" s="3" t="s">
        <v>78</v>
      </c>
      <c r="B193" s="2" t="s">
        <v>7</v>
      </c>
      <c r="C193" s="2" t="s">
        <v>13</v>
      </c>
      <c r="D193" s="2" t="s">
        <v>14</v>
      </c>
      <c r="E193" s="2" t="s">
        <v>15</v>
      </c>
      <c r="F193" s="4">
        <v>2973.99</v>
      </c>
    </row>
    <row r="194" spans="1:6" ht="15" thickBot="1" x14ac:dyDescent="0.35">
      <c r="A194" s="3" t="s">
        <v>44</v>
      </c>
      <c r="B194" s="2" t="s">
        <v>19</v>
      </c>
      <c r="C194" s="2" t="s">
        <v>8</v>
      </c>
      <c r="D194" s="2" t="s">
        <v>14</v>
      </c>
      <c r="E194" s="2" t="s">
        <v>24</v>
      </c>
      <c r="F194" s="4">
        <v>587.89</v>
      </c>
    </row>
    <row r="195" spans="1:6" ht="15" thickBot="1" x14ac:dyDescent="0.35">
      <c r="A195" s="3" t="s">
        <v>146</v>
      </c>
      <c r="B195" s="2" t="s">
        <v>7</v>
      </c>
      <c r="C195" s="2" t="s">
        <v>34</v>
      </c>
      <c r="D195" s="2" t="s">
        <v>14</v>
      </c>
      <c r="E195" s="2" t="s">
        <v>24</v>
      </c>
      <c r="F195" s="4">
        <v>599.52</v>
      </c>
    </row>
    <row r="196" spans="1:6" ht="15" thickBot="1" x14ac:dyDescent="0.35">
      <c r="A196" s="3" t="s">
        <v>147</v>
      </c>
      <c r="B196" s="2" t="s">
        <v>17</v>
      </c>
      <c r="C196" s="2" t="s">
        <v>8</v>
      </c>
      <c r="D196" s="2" t="s">
        <v>28</v>
      </c>
      <c r="E196" s="2" t="s">
        <v>10</v>
      </c>
      <c r="F196" s="4">
        <v>1993.42</v>
      </c>
    </row>
    <row r="197" spans="1:6" ht="15" thickBot="1" x14ac:dyDescent="0.35">
      <c r="A197" s="3" t="s">
        <v>148</v>
      </c>
      <c r="B197" s="2" t="s">
        <v>17</v>
      </c>
      <c r="C197" s="2" t="s">
        <v>13</v>
      </c>
      <c r="D197" s="2" t="s">
        <v>14</v>
      </c>
      <c r="E197" s="2" t="s">
        <v>10</v>
      </c>
      <c r="F197" s="4">
        <v>1395.49</v>
      </c>
    </row>
    <row r="198" spans="1:6" ht="15" thickBot="1" x14ac:dyDescent="0.35">
      <c r="A198" s="3" t="s">
        <v>59</v>
      </c>
      <c r="B198" s="2" t="s">
        <v>17</v>
      </c>
      <c r="C198" s="2" t="s">
        <v>13</v>
      </c>
      <c r="D198" s="2" t="s">
        <v>9</v>
      </c>
      <c r="E198" s="2" t="s">
        <v>15</v>
      </c>
      <c r="F198" s="4">
        <v>2509.14</v>
      </c>
    </row>
    <row r="199" spans="1:6" ht="15" thickBot="1" x14ac:dyDescent="0.35">
      <c r="A199" s="3" t="s">
        <v>101</v>
      </c>
      <c r="B199" s="2" t="s">
        <v>19</v>
      </c>
      <c r="C199" s="2" t="s">
        <v>23</v>
      </c>
      <c r="D199" s="2" t="s">
        <v>9</v>
      </c>
      <c r="E199" s="2" t="s">
        <v>24</v>
      </c>
      <c r="F199" s="4">
        <v>2619.1304719999998</v>
      </c>
    </row>
    <row r="200" spans="1:6" ht="15" thickBot="1" x14ac:dyDescent="0.35">
      <c r="A200" s="3" t="s">
        <v>61</v>
      </c>
      <c r="B200" s="2" t="s">
        <v>30</v>
      </c>
      <c r="C200" s="2" t="s">
        <v>13</v>
      </c>
      <c r="D200" s="2" t="s">
        <v>14</v>
      </c>
      <c r="E200" s="2" t="s">
        <v>10</v>
      </c>
      <c r="F200" s="4">
        <v>1192.6600000000001</v>
      </c>
    </row>
    <row r="201" spans="1:6" ht="15" thickBot="1" x14ac:dyDescent="0.35">
      <c r="A201" s="3" t="s">
        <v>101</v>
      </c>
      <c r="B201" s="2" t="s">
        <v>19</v>
      </c>
      <c r="C201" s="2" t="s">
        <v>34</v>
      </c>
      <c r="D201" s="2" t="s">
        <v>9</v>
      </c>
      <c r="E201" s="2" t="s">
        <v>24</v>
      </c>
      <c r="F201" s="4">
        <v>639.35639619999995</v>
      </c>
    </row>
    <row r="202" spans="1:6" ht="15" thickBot="1" x14ac:dyDescent="0.35">
      <c r="A202" s="3" t="s">
        <v>47</v>
      </c>
      <c r="B202" s="2" t="s">
        <v>30</v>
      </c>
      <c r="C202" s="2" t="s">
        <v>13</v>
      </c>
      <c r="D202" s="2" t="s">
        <v>28</v>
      </c>
      <c r="E202" s="2" t="s">
        <v>24</v>
      </c>
      <c r="F202" s="4">
        <v>3446.07</v>
      </c>
    </row>
    <row r="203" spans="1:6" ht="15" thickBot="1" x14ac:dyDescent="0.35">
      <c r="A203" s="3" t="s">
        <v>149</v>
      </c>
      <c r="B203" s="2" t="s">
        <v>17</v>
      </c>
      <c r="C203" s="2" t="s">
        <v>13</v>
      </c>
      <c r="D203" s="2" t="s">
        <v>9</v>
      </c>
      <c r="E203" s="2" t="s">
        <v>10</v>
      </c>
      <c r="F203" s="4">
        <v>2973.1976180000001</v>
      </c>
    </row>
    <row r="204" spans="1:6" ht="15" thickBot="1" x14ac:dyDescent="0.35">
      <c r="A204" s="3" t="s">
        <v>41</v>
      </c>
      <c r="B204" s="2" t="s">
        <v>30</v>
      </c>
      <c r="C204" s="2" t="s">
        <v>13</v>
      </c>
      <c r="D204" s="2" t="s">
        <v>28</v>
      </c>
      <c r="E204" s="2" t="s">
        <v>15</v>
      </c>
      <c r="F204" s="4">
        <v>4562.24</v>
      </c>
    </row>
    <row r="205" spans="1:6" ht="15" thickBot="1" x14ac:dyDescent="0.35">
      <c r="A205" s="3" t="s">
        <v>74</v>
      </c>
      <c r="B205" s="2" t="s">
        <v>19</v>
      </c>
      <c r="C205" s="2" t="s">
        <v>13</v>
      </c>
      <c r="D205" s="2" t="s">
        <v>28</v>
      </c>
      <c r="E205" s="2" t="s">
        <v>15</v>
      </c>
      <c r="F205" s="4">
        <v>3500.64</v>
      </c>
    </row>
    <row r="206" spans="1:6" ht="15" thickBot="1" x14ac:dyDescent="0.35">
      <c r="A206" s="3" t="s">
        <v>29</v>
      </c>
      <c r="B206" s="2" t="s">
        <v>30</v>
      </c>
      <c r="C206" s="2" t="s">
        <v>8</v>
      </c>
      <c r="D206" s="2" t="s">
        <v>28</v>
      </c>
      <c r="E206" s="2" t="s">
        <v>24</v>
      </c>
      <c r="F206" s="4">
        <v>3289.66</v>
      </c>
    </row>
    <row r="207" spans="1:6" ht="15" thickBot="1" x14ac:dyDescent="0.35">
      <c r="A207" s="3" t="s">
        <v>53</v>
      </c>
      <c r="B207" s="2" t="s">
        <v>7</v>
      </c>
      <c r="C207" s="2" t="s">
        <v>34</v>
      </c>
      <c r="D207" s="2" t="s">
        <v>14</v>
      </c>
      <c r="E207" s="2" t="s">
        <v>15</v>
      </c>
      <c r="F207" s="4">
        <v>540.26</v>
      </c>
    </row>
    <row r="208" spans="1:6" ht="15" thickBot="1" x14ac:dyDescent="0.35">
      <c r="A208" s="3" t="s">
        <v>150</v>
      </c>
      <c r="B208" s="2" t="s">
        <v>30</v>
      </c>
      <c r="C208" s="2" t="s">
        <v>23</v>
      </c>
      <c r="D208" s="2" t="s">
        <v>14</v>
      </c>
      <c r="E208" s="2" t="s">
        <v>15</v>
      </c>
      <c r="F208" s="4">
        <v>3784.31</v>
      </c>
    </row>
    <row r="209" spans="1:6" ht="15" thickBot="1" x14ac:dyDescent="0.35">
      <c r="A209" s="3" t="s">
        <v>33</v>
      </c>
      <c r="B209" s="2" t="s">
        <v>19</v>
      </c>
      <c r="C209" s="2" t="s">
        <v>13</v>
      </c>
      <c r="D209" s="2" t="s">
        <v>28</v>
      </c>
      <c r="E209" s="2" t="s">
        <v>24</v>
      </c>
      <c r="F209" s="4">
        <v>2320.83</v>
      </c>
    </row>
    <row r="210" spans="1:6" ht="15" thickBot="1" x14ac:dyDescent="0.35">
      <c r="A210" s="3" t="s">
        <v>82</v>
      </c>
      <c r="B210" s="2" t="s">
        <v>17</v>
      </c>
      <c r="C210" s="2" t="s">
        <v>34</v>
      </c>
      <c r="D210" s="2" t="s">
        <v>14</v>
      </c>
      <c r="E210" s="2" t="s">
        <v>15</v>
      </c>
      <c r="F210" s="4">
        <v>2311.4499999999998</v>
      </c>
    </row>
    <row r="211" spans="1:6" ht="15" thickBot="1" x14ac:dyDescent="0.35">
      <c r="A211" s="3" t="s">
        <v>122</v>
      </c>
      <c r="B211" s="2" t="s">
        <v>19</v>
      </c>
      <c r="C211" s="2" t="s">
        <v>23</v>
      </c>
      <c r="D211" s="2" t="s">
        <v>28</v>
      </c>
      <c r="E211" s="2" t="s">
        <v>10</v>
      </c>
      <c r="F211" s="4">
        <v>4836.59</v>
      </c>
    </row>
    <row r="212" spans="1:6" ht="15" thickBot="1" x14ac:dyDescent="0.35">
      <c r="A212" s="3" t="s">
        <v>64</v>
      </c>
      <c r="B212" s="2" t="s">
        <v>30</v>
      </c>
      <c r="C212" s="2" t="s">
        <v>13</v>
      </c>
      <c r="D212" s="2" t="s">
        <v>28</v>
      </c>
      <c r="E212" s="2" t="s">
        <v>15</v>
      </c>
      <c r="F212" s="4">
        <v>4870.82</v>
      </c>
    </row>
    <row r="213" spans="1:6" ht="15" thickBot="1" x14ac:dyDescent="0.35">
      <c r="A213" s="3" t="s">
        <v>151</v>
      </c>
      <c r="B213" s="2" t="s">
        <v>12</v>
      </c>
      <c r="C213" s="2" t="s">
        <v>23</v>
      </c>
      <c r="D213" s="2" t="s">
        <v>28</v>
      </c>
      <c r="E213" s="2" t="s">
        <v>15</v>
      </c>
      <c r="F213" s="4">
        <v>4492.74</v>
      </c>
    </row>
    <row r="214" spans="1:6" ht="15" thickBot="1" x14ac:dyDescent="0.35">
      <c r="A214" s="3" t="s">
        <v>152</v>
      </c>
      <c r="B214" s="2" t="s">
        <v>30</v>
      </c>
      <c r="C214" s="2" t="s">
        <v>34</v>
      </c>
      <c r="D214" s="2" t="s">
        <v>14</v>
      </c>
      <c r="E214" s="2" t="s">
        <v>10</v>
      </c>
      <c r="F214" s="4">
        <v>2776.43</v>
      </c>
    </row>
    <row r="215" spans="1:6" ht="15" thickBot="1" x14ac:dyDescent="0.35">
      <c r="A215" s="3" t="s">
        <v>16</v>
      </c>
      <c r="B215" s="2" t="s">
        <v>17</v>
      </c>
      <c r="C215" s="2" t="s">
        <v>23</v>
      </c>
      <c r="D215" s="2" t="s">
        <v>28</v>
      </c>
      <c r="E215" s="2" t="s">
        <v>10</v>
      </c>
      <c r="F215" s="4">
        <v>4987.59</v>
      </c>
    </row>
    <row r="216" spans="1:6" ht="15" thickBot="1" x14ac:dyDescent="0.35">
      <c r="A216" s="3" t="s">
        <v>153</v>
      </c>
      <c r="B216" s="2" t="s">
        <v>7</v>
      </c>
      <c r="C216" s="2" t="s">
        <v>8</v>
      </c>
      <c r="D216" s="2" t="s">
        <v>9</v>
      </c>
      <c r="E216" s="2" t="s">
        <v>10</v>
      </c>
      <c r="F216" s="4">
        <v>1335.7609</v>
      </c>
    </row>
    <row r="217" spans="1:6" ht="15" thickBot="1" x14ac:dyDescent="0.35">
      <c r="A217" s="3" t="s">
        <v>39</v>
      </c>
      <c r="B217" s="2" t="s">
        <v>7</v>
      </c>
      <c r="C217" s="2" t="s">
        <v>34</v>
      </c>
      <c r="D217" s="2" t="s">
        <v>14</v>
      </c>
      <c r="E217" s="2" t="s">
        <v>10</v>
      </c>
      <c r="F217" s="4">
        <v>1293.21</v>
      </c>
    </row>
    <row r="218" spans="1:6" ht="15" thickBot="1" x14ac:dyDescent="0.35">
      <c r="A218" s="3" t="s">
        <v>154</v>
      </c>
      <c r="B218" s="2" t="s">
        <v>12</v>
      </c>
      <c r="C218" s="2" t="s">
        <v>34</v>
      </c>
      <c r="D218" s="2" t="s">
        <v>28</v>
      </c>
      <c r="E218" s="2" t="s">
        <v>24</v>
      </c>
      <c r="F218" s="4">
        <v>1708</v>
      </c>
    </row>
    <row r="219" spans="1:6" ht="15" thickBot="1" x14ac:dyDescent="0.35">
      <c r="A219" s="3" t="s">
        <v>99</v>
      </c>
      <c r="B219" s="2" t="s">
        <v>19</v>
      </c>
      <c r="C219" s="2" t="s">
        <v>13</v>
      </c>
      <c r="D219" s="2" t="s">
        <v>28</v>
      </c>
      <c r="E219" s="2" t="s">
        <v>24</v>
      </c>
      <c r="F219" s="4">
        <v>4594.9799999999996</v>
      </c>
    </row>
    <row r="220" spans="1:6" ht="15" thickBot="1" x14ac:dyDescent="0.35">
      <c r="A220" s="3" t="s">
        <v>155</v>
      </c>
      <c r="B220" s="2" t="s">
        <v>7</v>
      </c>
      <c r="C220" s="2" t="s">
        <v>23</v>
      </c>
      <c r="D220" s="2" t="s">
        <v>14</v>
      </c>
      <c r="E220" s="2" t="s">
        <v>10</v>
      </c>
      <c r="F220" s="4">
        <v>831.81</v>
      </c>
    </row>
    <row r="221" spans="1:6" ht="15" thickBot="1" x14ac:dyDescent="0.35">
      <c r="A221" s="3" t="s">
        <v>156</v>
      </c>
      <c r="B221" s="2" t="s">
        <v>17</v>
      </c>
      <c r="C221" s="2" t="s">
        <v>23</v>
      </c>
      <c r="D221" s="2" t="s">
        <v>14</v>
      </c>
      <c r="E221" s="2" t="s">
        <v>10</v>
      </c>
      <c r="F221" s="4">
        <v>2545.9</v>
      </c>
    </row>
    <row r="222" spans="1:6" ht="15" thickBot="1" x14ac:dyDescent="0.35">
      <c r="A222" s="3" t="s">
        <v>149</v>
      </c>
      <c r="B222" s="2" t="s">
        <v>17</v>
      </c>
      <c r="C222" s="2" t="s">
        <v>34</v>
      </c>
      <c r="D222" s="2" t="s">
        <v>9</v>
      </c>
      <c r="E222" s="2" t="s">
        <v>10</v>
      </c>
      <c r="F222" s="4">
        <v>1207.1362979999999</v>
      </c>
    </row>
    <row r="223" spans="1:6" ht="15" thickBot="1" x14ac:dyDescent="0.35">
      <c r="A223" s="3" t="s">
        <v>33</v>
      </c>
      <c r="B223" s="2" t="s">
        <v>19</v>
      </c>
      <c r="C223" s="2" t="s">
        <v>23</v>
      </c>
      <c r="D223" s="2" t="s">
        <v>9</v>
      </c>
      <c r="E223" s="2" t="s">
        <v>24</v>
      </c>
      <c r="F223" s="4">
        <v>2790.8028279999999</v>
      </c>
    </row>
    <row r="224" spans="1:6" ht="15" thickBot="1" x14ac:dyDescent="0.35">
      <c r="A224" s="3" t="s">
        <v>157</v>
      </c>
      <c r="B224" s="2" t="s">
        <v>30</v>
      </c>
      <c r="C224" s="2" t="s">
        <v>23</v>
      </c>
      <c r="D224" s="2" t="s">
        <v>28</v>
      </c>
      <c r="E224" s="2" t="s">
        <v>15</v>
      </c>
      <c r="F224" s="4">
        <v>1945.28</v>
      </c>
    </row>
    <row r="225" spans="1:6" ht="15" thickBot="1" x14ac:dyDescent="0.35">
      <c r="A225" s="3" t="s">
        <v>16</v>
      </c>
      <c r="B225" s="2" t="s">
        <v>17</v>
      </c>
      <c r="C225" s="2" t="s">
        <v>34</v>
      </c>
      <c r="D225" s="2" t="s">
        <v>9</v>
      </c>
      <c r="E225" s="2" t="s">
        <v>24</v>
      </c>
      <c r="F225" s="4">
        <v>3670.5421860000001</v>
      </c>
    </row>
    <row r="226" spans="1:6" ht="15" thickBot="1" x14ac:dyDescent="0.35">
      <c r="A226" s="3" t="s">
        <v>44</v>
      </c>
      <c r="B226" s="2" t="s">
        <v>19</v>
      </c>
      <c r="C226" s="2" t="s">
        <v>13</v>
      </c>
      <c r="D226" s="2" t="s">
        <v>14</v>
      </c>
      <c r="E226" s="2" t="s">
        <v>24</v>
      </c>
      <c r="F226" s="4">
        <v>1954.98</v>
      </c>
    </row>
    <row r="227" spans="1:6" ht="15" thickBot="1" x14ac:dyDescent="0.35">
      <c r="A227" s="3" t="s">
        <v>84</v>
      </c>
      <c r="B227" s="2" t="s">
        <v>30</v>
      </c>
      <c r="C227" s="2" t="s">
        <v>13</v>
      </c>
      <c r="D227" s="2" t="s">
        <v>14</v>
      </c>
      <c r="E227" s="2" t="s">
        <v>15</v>
      </c>
      <c r="F227" s="4">
        <v>2205.38</v>
      </c>
    </row>
    <row r="228" spans="1:6" ht="15" thickBot="1" x14ac:dyDescent="0.35">
      <c r="A228" s="3" t="s">
        <v>40</v>
      </c>
      <c r="B228" s="2" t="s">
        <v>19</v>
      </c>
      <c r="C228" s="2" t="s">
        <v>23</v>
      </c>
      <c r="D228" s="2" t="s">
        <v>14</v>
      </c>
      <c r="E228" s="2" t="s">
        <v>24</v>
      </c>
      <c r="F228" s="4">
        <v>1900.73</v>
      </c>
    </row>
    <row r="229" spans="1:6" ht="15" thickBot="1" x14ac:dyDescent="0.35">
      <c r="A229" s="3" t="s">
        <v>49</v>
      </c>
      <c r="B229" s="2" t="s">
        <v>19</v>
      </c>
      <c r="C229" s="2" t="s">
        <v>13</v>
      </c>
      <c r="D229" s="2" t="s">
        <v>9</v>
      </c>
      <c r="E229" s="2" t="s">
        <v>10</v>
      </c>
      <c r="F229" s="4">
        <v>2512.7800000000002</v>
      </c>
    </row>
    <row r="230" spans="1:6" ht="15" thickBot="1" x14ac:dyDescent="0.35">
      <c r="A230" s="3" t="s">
        <v>134</v>
      </c>
      <c r="B230" s="2" t="s">
        <v>7</v>
      </c>
      <c r="C230" s="2" t="s">
        <v>23</v>
      </c>
      <c r="D230" s="2" t="s">
        <v>9</v>
      </c>
      <c r="E230" s="2" t="s">
        <v>15</v>
      </c>
      <c r="F230" s="4">
        <v>3560.2940319999998</v>
      </c>
    </row>
    <row r="231" spans="1:6" ht="15" thickBot="1" x14ac:dyDescent="0.35">
      <c r="A231" s="3" t="s">
        <v>66</v>
      </c>
      <c r="B231" s="2" t="s">
        <v>30</v>
      </c>
      <c r="C231" s="2" t="s">
        <v>23</v>
      </c>
      <c r="D231" s="2" t="s">
        <v>14</v>
      </c>
      <c r="E231" s="2" t="s">
        <v>10</v>
      </c>
      <c r="F231" s="4">
        <v>4844.28</v>
      </c>
    </row>
    <row r="232" spans="1:6" ht="15" thickBot="1" x14ac:dyDescent="0.35">
      <c r="A232" s="3" t="s">
        <v>94</v>
      </c>
      <c r="B232" s="2" t="s">
        <v>7</v>
      </c>
      <c r="C232" s="2" t="s">
        <v>13</v>
      </c>
      <c r="D232" s="2" t="s">
        <v>14</v>
      </c>
      <c r="E232" s="2" t="s">
        <v>15</v>
      </c>
      <c r="F232" s="4">
        <v>3100.15</v>
      </c>
    </row>
    <row r="233" spans="1:6" ht="15" thickBot="1" x14ac:dyDescent="0.35">
      <c r="A233" s="3" t="s">
        <v>53</v>
      </c>
      <c r="B233" s="2" t="s">
        <v>7</v>
      </c>
      <c r="C233" s="2" t="s">
        <v>8</v>
      </c>
      <c r="D233" s="2" t="s">
        <v>28</v>
      </c>
      <c r="E233" s="2" t="s">
        <v>15</v>
      </c>
      <c r="F233" s="4">
        <v>2791.16</v>
      </c>
    </row>
    <row r="234" spans="1:6" ht="15" thickBot="1" x14ac:dyDescent="0.35">
      <c r="A234" s="3" t="s">
        <v>130</v>
      </c>
      <c r="B234" s="2" t="s">
        <v>12</v>
      </c>
      <c r="C234" s="2" t="s">
        <v>8</v>
      </c>
      <c r="D234" s="2" t="s">
        <v>14</v>
      </c>
      <c r="E234" s="2" t="s">
        <v>15</v>
      </c>
      <c r="F234" s="4">
        <v>774.95</v>
      </c>
    </row>
    <row r="235" spans="1:6" ht="15" thickBot="1" x14ac:dyDescent="0.35">
      <c r="A235" s="3" t="s">
        <v>29</v>
      </c>
      <c r="B235" s="2" t="s">
        <v>30</v>
      </c>
      <c r="C235" s="2" t="s">
        <v>8</v>
      </c>
      <c r="D235" s="2" t="s">
        <v>9</v>
      </c>
      <c r="E235" s="2" t="s">
        <v>15</v>
      </c>
      <c r="F235" s="4">
        <v>2907.121024</v>
      </c>
    </row>
    <row r="236" spans="1:6" ht="15" thickBot="1" x14ac:dyDescent="0.35">
      <c r="A236" s="3" t="s">
        <v>158</v>
      </c>
      <c r="B236" s="2" t="s">
        <v>30</v>
      </c>
      <c r="C236" s="2" t="s">
        <v>23</v>
      </c>
      <c r="D236" s="2" t="s">
        <v>9</v>
      </c>
      <c r="E236" s="2" t="s">
        <v>10</v>
      </c>
      <c r="F236" s="4">
        <v>1885.37</v>
      </c>
    </row>
    <row r="237" spans="1:6" ht="15" thickBot="1" x14ac:dyDescent="0.35">
      <c r="A237" s="3" t="s">
        <v>55</v>
      </c>
      <c r="B237" s="2" t="s">
        <v>12</v>
      </c>
      <c r="C237" s="2" t="s">
        <v>23</v>
      </c>
      <c r="D237" s="2" t="s">
        <v>9</v>
      </c>
      <c r="E237" s="2" t="s">
        <v>10</v>
      </c>
      <c r="F237" s="4">
        <v>3784.5787529999998</v>
      </c>
    </row>
    <row r="238" spans="1:6" ht="15" thickBot="1" x14ac:dyDescent="0.35">
      <c r="A238" s="3" t="s">
        <v>102</v>
      </c>
      <c r="B238" s="2" t="s">
        <v>19</v>
      </c>
      <c r="C238" s="2" t="s">
        <v>34</v>
      </c>
      <c r="D238" s="2" t="s">
        <v>28</v>
      </c>
      <c r="E238" s="2" t="s">
        <v>10</v>
      </c>
      <c r="F238" s="4">
        <v>2788.31</v>
      </c>
    </row>
    <row r="239" spans="1:6" ht="15" thickBot="1" x14ac:dyDescent="0.35">
      <c r="A239" s="3" t="s">
        <v>150</v>
      </c>
      <c r="B239" s="2" t="s">
        <v>30</v>
      </c>
      <c r="C239" s="2" t="s">
        <v>13</v>
      </c>
      <c r="D239" s="2" t="s">
        <v>14</v>
      </c>
      <c r="E239" s="2" t="s">
        <v>15</v>
      </c>
      <c r="F239" s="4">
        <v>3315.9</v>
      </c>
    </row>
    <row r="240" spans="1:6" ht="15" thickBot="1" x14ac:dyDescent="0.35">
      <c r="A240" s="3" t="s">
        <v>159</v>
      </c>
      <c r="B240" s="2" t="s">
        <v>7</v>
      </c>
      <c r="C240" s="2" t="s">
        <v>34</v>
      </c>
      <c r="D240" s="2" t="s">
        <v>28</v>
      </c>
      <c r="E240" s="2" t="s">
        <v>24</v>
      </c>
      <c r="F240" s="4">
        <v>1940.67</v>
      </c>
    </row>
    <row r="241" spans="1:6" ht="15" thickBot="1" x14ac:dyDescent="0.35">
      <c r="A241" s="3" t="s">
        <v>160</v>
      </c>
      <c r="B241" s="2" t="s">
        <v>30</v>
      </c>
      <c r="C241" s="2" t="s">
        <v>13</v>
      </c>
      <c r="D241" s="2" t="s">
        <v>9</v>
      </c>
      <c r="E241" s="2" t="s">
        <v>24</v>
      </c>
      <c r="F241" s="4">
        <v>4052.32</v>
      </c>
    </row>
    <row r="242" spans="1:6" ht="15" thickBot="1" x14ac:dyDescent="0.35">
      <c r="A242" s="3" t="s">
        <v>161</v>
      </c>
      <c r="B242" s="2" t="s">
        <v>7</v>
      </c>
      <c r="C242" s="2" t="s">
        <v>34</v>
      </c>
      <c r="D242" s="2" t="s">
        <v>9</v>
      </c>
      <c r="E242" s="2" t="s">
        <v>10</v>
      </c>
      <c r="F242" s="4">
        <v>1277.295351</v>
      </c>
    </row>
    <row r="243" spans="1:6" ht="15" thickBot="1" x14ac:dyDescent="0.35">
      <c r="A243" s="3" t="s">
        <v>149</v>
      </c>
      <c r="B243" s="2" t="s">
        <v>17</v>
      </c>
      <c r="C243" s="2" t="s">
        <v>13</v>
      </c>
      <c r="D243" s="2" t="s">
        <v>28</v>
      </c>
      <c r="E243" s="2" t="s">
        <v>15</v>
      </c>
      <c r="F243" s="4">
        <v>1024.25</v>
      </c>
    </row>
    <row r="244" spans="1:6" ht="15" thickBot="1" x14ac:dyDescent="0.35">
      <c r="A244" s="3" t="s">
        <v>64</v>
      </c>
      <c r="B244" s="2" t="s">
        <v>30</v>
      </c>
      <c r="C244" s="2" t="s">
        <v>8</v>
      </c>
      <c r="D244" s="2" t="s">
        <v>28</v>
      </c>
      <c r="E244" s="2" t="s">
        <v>10</v>
      </c>
      <c r="F244" s="4">
        <v>167.21</v>
      </c>
    </row>
    <row r="245" spans="1:6" ht="15" thickBot="1" x14ac:dyDescent="0.35">
      <c r="A245" s="3" t="s">
        <v>162</v>
      </c>
      <c r="B245" s="2" t="s">
        <v>30</v>
      </c>
      <c r="C245" s="2" t="s">
        <v>23</v>
      </c>
      <c r="D245" s="2" t="s">
        <v>28</v>
      </c>
      <c r="E245" s="2" t="s">
        <v>10</v>
      </c>
      <c r="F245" s="4">
        <v>996.06</v>
      </c>
    </row>
    <row r="246" spans="1:6" ht="15" thickBot="1" x14ac:dyDescent="0.35">
      <c r="A246" s="3" t="s">
        <v>163</v>
      </c>
      <c r="B246" s="2" t="s">
        <v>19</v>
      </c>
      <c r="C246" s="2" t="s">
        <v>34</v>
      </c>
      <c r="D246" s="2" t="s">
        <v>28</v>
      </c>
      <c r="E246" s="2" t="s">
        <v>10</v>
      </c>
      <c r="F246" s="4">
        <v>1827.8</v>
      </c>
    </row>
    <row r="247" spans="1:6" ht="15" thickBot="1" x14ac:dyDescent="0.35">
      <c r="A247" s="3" t="s">
        <v>29</v>
      </c>
      <c r="B247" s="2" t="s">
        <v>30</v>
      </c>
      <c r="C247" s="2" t="s">
        <v>34</v>
      </c>
      <c r="D247" s="2" t="s">
        <v>28</v>
      </c>
      <c r="E247" s="2" t="s">
        <v>24</v>
      </c>
      <c r="F247" s="4">
        <v>4065.52</v>
      </c>
    </row>
    <row r="248" spans="1:6" ht="15" thickBot="1" x14ac:dyDescent="0.35">
      <c r="A248" s="3" t="s">
        <v>121</v>
      </c>
      <c r="B248" s="2" t="s">
        <v>30</v>
      </c>
      <c r="C248" s="2" t="s">
        <v>23</v>
      </c>
      <c r="D248" s="2" t="s">
        <v>9</v>
      </c>
      <c r="E248" s="2" t="s">
        <v>10</v>
      </c>
      <c r="F248" s="4">
        <v>484.81994279999998</v>
      </c>
    </row>
    <row r="249" spans="1:6" ht="15" thickBot="1" x14ac:dyDescent="0.35">
      <c r="A249" s="3" t="s">
        <v>164</v>
      </c>
      <c r="B249" s="2" t="s">
        <v>19</v>
      </c>
      <c r="C249" s="2" t="s">
        <v>8</v>
      </c>
      <c r="D249" s="2" t="s">
        <v>9</v>
      </c>
      <c r="E249" s="2" t="s">
        <v>24</v>
      </c>
      <c r="F249" s="4">
        <v>4023.0128370000002</v>
      </c>
    </row>
    <row r="250" spans="1:6" ht="15" thickBot="1" x14ac:dyDescent="0.35">
      <c r="A250" s="3" t="s">
        <v>87</v>
      </c>
      <c r="B250" s="2" t="s">
        <v>12</v>
      </c>
      <c r="C250" s="2" t="s">
        <v>8</v>
      </c>
      <c r="D250" s="2" t="s">
        <v>9</v>
      </c>
      <c r="E250" s="2" t="s">
        <v>24</v>
      </c>
      <c r="F250" s="4">
        <v>895.43359580000003</v>
      </c>
    </row>
    <row r="251" spans="1:6" ht="15" thickBot="1" x14ac:dyDescent="0.35">
      <c r="A251" s="3" t="s">
        <v>94</v>
      </c>
      <c r="B251" s="2" t="s">
        <v>7</v>
      </c>
      <c r="C251" s="2" t="s">
        <v>23</v>
      </c>
      <c r="D251" s="2" t="s">
        <v>9</v>
      </c>
      <c r="E251" s="2" t="s">
        <v>24</v>
      </c>
      <c r="F251" s="4">
        <v>1949.1030049999999</v>
      </c>
    </row>
    <row r="252" spans="1:6" ht="15" thickBot="1" x14ac:dyDescent="0.35">
      <c r="A252" s="3" t="s">
        <v>29</v>
      </c>
      <c r="B252" s="2" t="s">
        <v>30</v>
      </c>
      <c r="C252" s="2" t="s">
        <v>23</v>
      </c>
      <c r="D252" s="2" t="s">
        <v>28</v>
      </c>
      <c r="E252" s="2" t="s">
        <v>24</v>
      </c>
      <c r="F252" s="4">
        <v>3777.75</v>
      </c>
    </row>
    <row r="253" spans="1:6" ht="15" thickBot="1" x14ac:dyDescent="0.35">
      <c r="A253" s="3" t="s">
        <v>35</v>
      </c>
      <c r="B253" s="2" t="s">
        <v>19</v>
      </c>
      <c r="C253" s="2" t="s">
        <v>13</v>
      </c>
      <c r="D253" s="2" t="s">
        <v>14</v>
      </c>
      <c r="E253" s="2" t="s">
        <v>24</v>
      </c>
      <c r="F253" s="4">
        <v>3625.63</v>
      </c>
    </row>
    <row r="254" spans="1:6" ht="15" thickBot="1" x14ac:dyDescent="0.35">
      <c r="A254" s="3" t="s">
        <v>18</v>
      </c>
      <c r="B254" s="2" t="s">
        <v>19</v>
      </c>
      <c r="C254" s="2" t="s">
        <v>34</v>
      </c>
      <c r="D254" s="2" t="s">
        <v>14</v>
      </c>
      <c r="E254" s="2" t="s">
        <v>24</v>
      </c>
      <c r="F254" s="4">
        <v>2991.57</v>
      </c>
    </row>
    <row r="255" spans="1:6" ht="15" thickBot="1" x14ac:dyDescent="0.35">
      <c r="A255" s="3" t="s">
        <v>65</v>
      </c>
      <c r="B255" s="2" t="s">
        <v>30</v>
      </c>
      <c r="C255" s="2" t="s">
        <v>8</v>
      </c>
      <c r="D255" s="2" t="s">
        <v>14</v>
      </c>
      <c r="E255" s="2" t="s">
        <v>15</v>
      </c>
      <c r="F255" s="4">
        <v>1016.04</v>
      </c>
    </row>
    <row r="256" spans="1:6" ht="15" thickBot="1" x14ac:dyDescent="0.35">
      <c r="A256" s="3" t="s">
        <v>156</v>
      </c>
      <c r="B256" s="2" t="s">
        <v>17</v>
      </c>
      <c r="C256" s="2" t="s">
        <v>13</v>
      </c>
      <c r="D256" s="2" t="s">
        <v>14</v>
      </c>
      <c r="E256" s="2" t="s">
        <v>24</v>
      </c>
      <c r="F256" s="4">
        <v>162.68</v>
      </c>
    </row>
    <row r="257" spans="1:6" ht="15" thickBot="1" x14ac:dyDescent="0.35">
      <c r="A257" s="3" t="s">
        <v>48</v>
      </c>
      <c r="B257" s="2" t="s">
        <v>19</v>
      </c>
      <c r="C257" s="2" t="s">
        <v>23</v>
      </c>
      <c r="D257" s="2" t="s">
        <v>9</v>
      </c>
      <c r="E257" s="2" t="s">
        <v>10</v>
      </c>
      <c r="F257" s="4">
        <v>2442.2862220000002</v>
      </c>
    </row>
    <row r="258" spans="1:6" ht="15" thickBot="1" x14ac:dyDescent="0.35">
      <c r="A258" s="3" t="s">
        <v>165</v>
      </c>
      <c r="B258" s="2" t="s">
        <v>7</v>
      </c>
      <c r="C258" s="2" t="s">
        <v>8</v>
      </c>
      <c r="D258" s="2" t="s">
        <v>14</v>
      </c>
      <c r="E258" s="2" t="s">
        <v>15</v>
      </c>
      <c r="F258" s="4">
        <v>2499.21</v>
      </c>
    </row>
    <row r="259" spans="1:6" ht="15" thickBot="1" x14ac:dyDescent="0.35">
      <c r="A259" s="3" t="s">
        <v>156</v>
      </c>
      <c r="B259" s="2" t="s">
        <v>17</v>
      </c>
      <c r="C259" s="2" t="s">
        <v>13</v>
      </c>
      <c r="D259" s="2" t="s">
        <v>14</v>
      </c>
      <c r="E259" s="2" t="s">
        <v>15</v>
      </c>
      <c r="F259" s="4">
        <v>880</v>
      </c>
    </row>
    <row r="260" spans="1:6" ht="15" thickBot="1" x14ac:dyDescent="0.35">
      <c r="A260" s="3" t="s">
        <v>166</v>
      </c>
      <c r="B260" s="2" t="s">
        <v>7</v>
      </c>
      <c r="C260" s="2" t="s">
        <v>8</v>
      </c>
      <c r="D260" s="2" t="s">
        <v>9</v>
      </c>
      <c r="E260" s="2" t="s">
        <v>24</v>
      </c>
      <c r="F260" s="4">
        <v>1240.920038</v>
      </c>
    </row>
    <row r="261" spans="1:6" ht="15" thickBot="1" x14ac:dyDescent="0.35">
      <c r="A261" s="3" t="s">
        <v>47</v>
      </c>
      <c r="B261" s="2" t="s">
        <v>30</v>
      </c>
      <c r="C261" s="2" t="s">
        <v>23</v>
      </c>
      <c r="D261" s="2" t="s">
        <v>14</v>
      </c>
      <c r="E261" s="2" t="s">
        <v>15</v>
      </c>
      <c r="F261" s="4">
        <v>960.86</v>
      </c>
    </row>
    <row r="262" spans="1:6" ht="15" thickBot="1" x14ac:dyDescent="0.35">
      <c r="A262" s="3" t="s">
        <v>20</v>
      </c>
      <c r="B262" s="2" t="s">
        <v>17</v>
      </c>
      <c r="C262" s="2" t="s">
        <v>8</v>
      </c>
      <c r="D262" s="2" t="s">
        <v>9</v>
      </c>
      <c r="E262" s="2" t="s">
        <v>15</v>
      </c>
      <c r="F262" s="4">
        <v>4165.4782670000004</v>
      </c>
    </row>
    <row r="263" spans="1:6" ht="15" thickBot="1" x14ac:dyDescent="0.35">
      <c r="A263" s="3" t="s">
        <v>74</v>
      </c>
      <c r="B263" s="2" t="s">
        <v>19</v>
      </c>
      <c r="C263" s="2" t="s">
        <v>23</v>
      </c>
      <c r="D263" s="2" t="s">
        <v>28</v>
      </c>
      <c r="E263" s="2" t="s">
        <v>10</v>
      </c>
      <c r="F263" s="4">
        <v>2805.55</v>
      </c>
    </row>
    <row r="264" spans="1:6" ht="15" thickBot="1" x14ac:dyDescent="0.35">
      <c r="A264" s="3" t="s">
        <v>163</v>
      </c>
      <c r="B264" s="2" t="s">
        <v>19</v>
      </c>
      <c r="C264" s="2" t="s">
        <v>13</v>
      </c>
      <c r="D264" s="2" t="s">
        <v>9</v>
      </c>
      <c r="E264" s="2" t="s">
        <v>24</v>
      </c>
      <c r="F264" s="4">
        <v>5115.6804760000005</v>
      </c>
    </row>
    <row r="265" spans="1:6" ht="15" thickBot="1" x14ac:dyDescent="0.35">
      <c r="A265" s="3" t="s">
        <v>167</v>
      </c>
      <c r="B265" s="2" t="s">
        <v>30</v>
      </c>
      <c r="C265" s="2" t="s">
        <v>34</v>
      </c>
      <c r="D265" s="2" t="s">
        <v>9</v>
      </c>
      <c r="E265" s="2" t="s">
        <v>10</v>
      </c>
      <c r="F265" s="4">
        <v>771.92290009999999</v>
      </c>
    </row>
    <row r="266" spans="1:6" ht="15" thickBot="1" x14ac:dyDescent="0.35">
      <c r="A266" s="3" t="s">
        <v>163</v>
      </c>
      <c r="B266" s="2" t="s">
        <v>19</v>
      </c>
      <c r="C266" s="2" t="s">
        <v>8</v>
      </c>
      <c r="D266" s="2" t="s">
        <v>28</v>
      </c>
      <c r="E266" s="2" t="s">
        <v>10</v>
      </c>
      <c r="F266" s="4">
        <v>2773.86</v>
      </c>
    </row>
    <row r="267" spans="1:6" ht="15" thickBot="1" x14ac:dyDescent="0.35">
      <c r="A267" s="3" t="s">
        <v>168</v>
      </c>
      <c r="B267" s="2" t="s">
        <v>17</v>
      </c>
      <c r="C267" s="2" t="s">
        <v>34</v>
      </c>
      <c r="D267" s="2" t="s">
        <v>14</v>
      </c>
      <c r="E267" s="2" t="s">
        <v>10</v>
      </c>
      <c r="F267" s="4">
        <v>3950.71</v>
      </c>
    </row>
    <row r="268" spans="1:6" ht="15" thickBot="1" x14ac:dyDescent="0.35">
      <c r="A268" s="3" t="s">
        <v>97</v>
      </c>
      <c r="B268" s="2" t="s">
        <v>7</v>
      </c>
      <c r="C268" s="2" t="s">
        <v>34</v>
      </c>
      <c r="D268" s="2" t="s">
        <v>28</v>
      </c>
      <c r="E268" s="2" t="s">
        <v>24</v>
      </c>
      <c r="F268" s="4">
        <v>2266.44</v>
      </c>
    </row>
    <row r="269" spans="1:6" ht="15" thickBot="1" x14ac:dyDescent="0.35">
      <c r="A269" s="3" t="s">
        <v>46</v>
      </c>
      <c r="B269" s="2" t="s">
        <v>30</v>
      </c>
      <c r="C269" s="2" t="s">
        <v>23</v>
      </c>
      <c r="D269" s="2" t="s">
        <v>28</v>
      </c>
      <c r="E269" s="2" t="s">
        <v>24</v>
      </c>
      <c r="F269" s="4">
        <v>4964.76</v>
      </c>
    </row>
    <row r="270" spans="1:6" ht="15" thickBot="1" x14ac:dyDescent="0.35">
      <c r="A270" s="3" t="s">
        <v>100</v>
      </c>
      <c r="B270" s="2" t="s">
        <v>7</v>
      </c>
      <c r="C270" s="2" t="s">
        <v>13</v>
      </c>
      <c r="D270" s="2" t="s">
        <v>14</v>
      </c>
      <c r="E270" s="2" t="s">
        <v>15</v>
      </c>
      <c r="F270" s="4">
        <v>2700.64</v>
      </c>
    </row>
    <row r="271" spans="1:6" ht="15" thickBot="1" x14ac:dyDescent="0.35">
      <c r="A271" s="3" t="s">
        <v>132</v>
      </c>
      <c r="B271" s="2" t="s">
        <v>19</v>
      </c>
      <c r="C271" s="2" t="s">
        <v>8</v>
      </c>
      <c r="D271" s="2" t="s">
        <v>14</v>
      </c>
      <c r="E271" s="2" t="s">
        <v>10</v>
      </c>
      <c r="F271" s="4">
        <v>4643.79</v>
      </c>
    </row>
    <row r="272" spans="1:6" ht="15" thickBot="1" x14ac:dyDescent="0.35">
      <c r="A272" s="3" t="s">
        <v>20</v>
      </c>
      <c r="B272" s="2" t="s">
        <v>17</v>
      </c>
      <c r="C272" s="2" t="s">
        <v>8</v>
      </c>
      <c r="D272" s="2" t="s">
        <v>9</v>
      </c>
      <c r="E272" s="2" t="s">
        <v>24</v>
      </c>
      <c r="F272" s="4">
        <v>4947.7396909999998</v>
      </c>
    </row>
    <row r="273" spans="1:6" ht="15" thickBot="1" x14ac:dyDescent="0.35">
      <c r="A273" s="3" t="s">
        <v>107</v>
      </c>
      <c r="B273" s="2" t="s">
        <v>30</v>
      </c>
      <c r="C273" s="2" t="s">
        <v>8</v>
      </c>
      <c r="D273" s="2" t="s">
        <v>9</v>
      </c>
      <c r="E273" s="2" t="s">
        <v>10</v>
      </c>
      <c r="F273" s="4">
        <v>2116.6523769999999</v>
      </c>
    </row>
    <row r="274" spans="1:6" ht="15" thickBot="1" x14ac:dyDescent="0.35">
      <c r="A274" s="3" t="s">
        <v>169</v>
      </c>
      <c r="B274" s="2" t="s">
        <v>12</v>
      </c>
      <c r="C274" s="2" t="s">
        <v>13</v>
      </c>
      <c r="D274" s="2" t="s">
        <v>14</v>
      </c>
      <c r="E274" s="2" t="s">
        <v>10</v>
      </c>
      <c r="F274" s="4">
        <v>425.91</v>
      </c>
    </row>
    <row r="275" spans="1:6" ht="15" thickBot="1" x14ac:dyDescent="0.35">
      <c r="A275" s="3" t="s">
        <v>170</v>
      </c>
      <c r="B275" s="2" t="s">
        <v>12</v>
      </c>
      <c r="C275" s="2" t="s">
        <v>34</v>
      </c>
      <c r="D275" s="2" t="s">
        <v>28</v>
      </c>
      <c r="E275" s="2" t="s">
        <v>10</v>
      </c>
      <c r="F275" s="4">
        <v>466.45</v>
      </c>
    </row>
    <row r="276" spans="1:6" ht="15" thickBot="1" x14ac:dyDescent="0.35">
      <c r="A276" s="3" t="s">
        <v>97</v>
      </c>
      <c r="B276" s="2" t="s">
        <v>7</v>
      </c>
      <c r="C276" s="2" t="s">
        <v>23</v>
      </c>
      <c r="D276" s="2" t="s">
        <v>28</v>
      </c>
      <c r="E276" s="2" t="s">
        <v>15</v>
      </c>
      <c r="F276" s="4">
        <v>1868.24</v>
      </c>
    </row>
    <row r="277" spans="1:6" ht="15" thickBot="1" x14ac:dyDescent="0.35">
      <c r="A277" s="3" t="s">
        <v>156</v>
      </c>
      <c r="B277" s="2" t="s">
        <v>17</v>
      </c>
      <c r="C277" s="2" t="s">
        <v>13</v>
      </c>
      <c r="D277" s="2" t="s">
        <v>9</v>
      </c>
      <c r="E277" s="2" t="s">
        <v>10</v>
      </c>
      <c r="F277" s="4">
        <v>3497.3453829999999</v>
      </c>
    </row>
    <row r="278" spans="1:6" ht="15" thickBot="1" x14ac:dyDescent="0.35">
      <c r="A278" s="3" t="s">
        <v>25</v>
      </c>
      <c r="B278" s="2" t="s">
        <v>19</v>
      </c>
      <c r="C278" s="2" t="s">
        <v>8</v>
      </c>
      <c r="D278" s="2" t="s">
        <v>14</v>
      </c>
      <c r="E278" s="2" t="s">
        <v>15</v>
      </c>
      <c r="F278" s="4">
        <v>3774.06</v>
      </c>
    </row>
    <row r="279" spans="1:6" ht="15" thickBot="1" x14ac:dyDescent="0.35">
      <c r="A279" s="3" t="s">
        <v>129</v>
      </c>
      <c r="B279" s="2" t="s">
        <v>17</v>
      </c>
      <c r="C279" s="2" t="s">
        <v>8</v>
      </c>
      <c r="D279" s="2" t="s">
        <v>28</v>
      </c>
      <c r="E279" s="2" t="s">
        <v>24</v>
      </c>
      <c r="F279" s="4">
        <v>518.79999999999995</v>
      </c>
    </row>
    <row r="280" spans="1:6" ht="15" thickBot="1" x14ac:dyDescent="0.35">
      <c r="A280" s="3" t="s">
        <v>171</v>
      </c>
      <c r="B280" s="2" t="s">
        <v>17</v>
      </c>
      <c r="C280" s="2" t="s">
        <v>8</v>
      </c>
      <c r="D280" s="2" t="s">
        <v>28</v>
      </c>
      <c r="E280" s="2" t="s">
        <v>15</v>
      </c>
      <c r="F280" s="4">
        <v>2317.02</v>
      </c>
    </row>
    <row r="281" spans="1:6" ht="15" thickBot="1" x14ac:dyDescent="0.35">
      <c r="A281" s="3" t="s">
        <v>172</v>
      </c>
      <c r="B281" s="2" t="s">
        <v>7</v>
      </c>
      <c r="C281" s="2" t="s">
        <v>8</v>
      </c>
      <c r="D281" s="2" t="s">
        <v>14</v>
      </c>
      <c r="E281" s="2" t="s">
        <v>24</v>
      </c>
      <c r="F281" s="4">
        <v>3340.8</v>
      </c>
    </row>
    <row r="282" spans="1:6" ht="15" thickBot="1" x14ac:dyDescent="0.35">
      <c r="A282" s="3" t="s">
        <v>173</v>
      </c>
      <c r="B282" s="2" t="s">
        <v>30</v>
      </c>
      <c r="C282" s="2" t="s">
        <v>13</v>
      </c>
      <c r="D282" s="2" t="s">
        <v>28</v>
      </c>
      <c r="E282" s="2" t="s">
        <v>15</v>
      </c>
      <c r="F282" s="4">
        <v>3888.93</v>
      </c>
    </row>
    <row r="283" spans="1:6" ht="15" thickBot="1" x14ac:dyDescent="0.35">
      <c r="A283" s="3" t="s">
        <v>47</v>
      </c>
      <c r="B283" s="2" t="s">
        <v>30</v>
      </c>
      <c r="C283" s="2" t="s">
        <v>23</v>
      </c>
      <c r="D283" s="2" t="s">
        <v>9</v>
      </c>
      <c r="E283" s="2" t="s">
        <v>24</v>
      </c>
      <c r="F283" s="4">
        <v>4696.2290000000003</v>
      </c>
    </row>
    <row r="284" spans="1:6" ht="15" thickBot="1" x14ac:dyDescent="0.35">
      <c r="A284" s="3" t="s">
        <v>44</v>
      </c>
      <c r="B284" s="2" t="s">
        <v>19</v>
      </c>
      <c r="C284" s="2" t="s">
        <v>23</v>
      </c>
      <c r="D284" s="2" t="s">
        <v>28</v>
      </c>
      <c r="E284" s="2" t="s">
        <v>15</v>
      </c>
      <c r="F284" s="4">
        <v>149.05000000000001</v>
      </c>
    </row>
    <row r="285" spans="1:6" ht="15" thickBot="1" x14ac:dyDescent="0.35">
      <c r="A285" s="3" t="s">
        <v>77</v>
      </c>
      <c r="B285" s="2" t="s">
        <v>30</v>
      </c>
      <c r="C285" s="2" t="s">
        <v>13</v>
      </c>
      <c r="D285" s="2" t="s">
        <v>9</v>
      </c>
      <c r="E285" s="2" t="s">
        <v>24</v>
      </c>
      <c r="F285" s="4">
        <v>3665.9483260000002</v>
      </c>
    </row>
    <row r="286" spans="1:6" ht="15" thickBot="1" x14ac:dyDescent="0.35">
      <c r="A286" s="3" t="s">
        <v>49</v>
      </c>
      <c r="B286" s="2" t="s">
        <v>19</v>
      </c>
      <c r="C286" s="2" t="s">
        <v>13</v>
      </c>
      <c r="D286" s="2" t="s">
        <v>14</v>
      </c>
      <c r="E286" s="2" t="s">
        <v>10</v>
      </c>
      <c r="F286" s="4">
        <v>4101.93</v>
      </c>
    </row>
    <row r="287" spans="1:6" ht="15" thickBot="1" x14ac:dyDescent="0.35">
      <c r="A287" s="3" t="s">
        <v>123</v>
      </c>
      <c r="B287" s="2" t="s">
        <v>30</v>
      </c>
      <c r="C287" s="2" t="s">
        <v>34</v>
      </c>
      <c r="D287" s="2" t="s">
        <v>14</v>
      </c>
      <c r="E287" s="2" t="s">
        <v>24</v>
      </c>
      <c r="F287" s="4">
        <v>2897.14</v>
      </c>
    </row>
    <row r="288" spans="1:6" ht="15" thickBot="1" x14ac:dyDescent="0.35">
      <c r="A288" s="3" t="s">
        <v>63</v>
      </c>
      <c r="B288" s="2" t="s">
        <v>12</v>
      </c>
      <c r="C288" s="2" t="s">
        <v>34</v>
      </c>
      <c r="D288" s="2" t="s">
        <v>14</v>
      </c>
      <c r="E288" s="2" t="s">
        <v>15</v>
      </c>
      <c r="F288" s="4">
        <v>828.73</v>
      </c>
    </row>
    <row r="289" spans="1:6" ht="15" thickBot="1" x14ac:dyDescent="0.35">
      <c r="A289" s="3" t="s">
        <v>122</v>
      </c>
      <c r="B289" s="2" t="s">
        <v>19</v>
      </c>
      <c r="C289" s="2" t="s">
        <v>34</v>
      </c>
      <c r="D289" s="2" t="s">
        <v>28</v>
      </c>
      <c r="E289" s="2" t="s">
        <v>15</v>
      </c>
      <c r="F289" s="4">
        <v>3155.64</v>
      </c>
    </row>
    <row r="290" spans="1:6" ht="15" thickBot="1" x14ac:dyDescent="0.35">
      <c r="A290" s="3" t="s">
        <v>48</v>
      </c>
      <c r="B290" s="2" t="s">
        <v>19</v>
      </c>
      <c r="C290" s="2" t="s">
        <v>34</v>
      </c>
      <c r="D290" s="2" t="s">
        <v>14</v>
      </c>
      <c r="E290" s="2" t="s">
        <v>15</v>
      </c>
      <c r="F290" s="4">
        <v>3573.8</v>
      </c>
    </row>
    <row r="291" spans="1:6" ht="15" thickBot="1" x14ac:dyDescent="0.35">
      <c r="A291" s="3" t="s">
        <v>145</v>
      </c>
      <c r="B291" s="2" t="s">
        <v>7</v>
      </c>
      <c r="C291" s="2" t="s">
        <v>8</v>
      </c>
      <c r="D291" s="2" t="s">
        <v>28</v>
      </c>
      <c r="E291" s="2" t="s">
        <v>24</v>
      </c>
      <c r="F291" s="4">
        <v>4315.67</v>
      </c>
    </row>
    <row r="292" spans="1:6" ht="15" thickBot="1" x14ac:dyDescent="0.35">
      <c r="A292" s="3" t="s">
        <v>48</v>
      </c>
      <c r="B292" s="2" t="s">
        <v>19</v>
      </c>
      <c r="C292" s="2" t="s">
        <v>13</v>
      </c>
      <c r="D292" s="2" t="s">
        <v>14</v>
      </c>
      <c r="E292" s="2" t="s">
        <v>10</v>
      </c>
      <c r="F292" s="4">
        <v>265.31</v>
      </c>
    </row>
    <row r="293" spans="1:6" ht="15" thickBot="1" x14ac:dyDescent="0.35">
      <c r="A293" s="3" t="s">
        <v>40</v>
      </c>
      <c r="B293" s="2" t="s">
        <v>19</v>
      </c>
      <c r="C293" s="2" t="s">
        <v>8</v>
      </c>
      <c r="D293" s="2" t="s">
        <v>28</v>
      </c>
      <c r="E293" s="2" t="s">
        <v>24</v>
      </c>
      <c r="F293" s="4">
        <v>392.52</v>
      </c>
    </row>
    <row r="294" spans="1:6" ht="15" thickBot="1" x14ac:dyDescent="0.35">
      <c r="A294" s="3" t="s">
        <v>139</v>
      </c>
      <c r="B294" s="2" t="s">
        <v>7</v>
      </c>
      <c r="C294" s="2" t="s">
        <v>23</v>
      </c>
      <c r="D294" s="2" t="s">
        <v>28</v>
      </c>
      <c r="E294" s="2" t="s">
        <v>24</v>
      </c>
      <c r="F294" s="4">
        <v>3807.44</v>
      </c>
    </row>
    <row r="295" spans="1:6" ht="15" thickBot="1" x14ac:dyDescent="0.35">
      <c r="A295" s="3" t="s">
        <v>90</v>
      </c>
      <c r="B295" s="2" t="s">
        <v>19</v>
      </c>
      <c r="C295" s="2" t="s">
        <v>8</v>
      </c>
      <c r="D295" s="2" t="s">
        <v>9</v>
      </c>
      <c r="E295" s="2" t="s">
        <v>24</v>
      </c>
      <c r="F295" s="4">
        <v>3118.1759889999998</v>
      </c>
    </row>
    <row r="296" spans="1:6" ht="15" thickBot="1" x14ac:dyDescent="0.35">
      <c r="A296" s="3" t="s">
        <v>174</v>
      </c>
      <c r="B296" s="2" t="s">
        <v>19</v>
      </c>
      <c r="C296" s="2" t="s">
        <v>34</v>
      </c>
      <c r="D296" s="2" t="s">
        <v>14</v>
      </c>
      <c r="E296" s="2" t="s">
        <v>24</v>
      </c>
      <c r="F296" s="4">
        <v>1947.59</v>
      </c>
    </row>
    <row r="297" spans="1:6" ht="15" thickBot="1" x14ac:dyDescent="0.35">
      <c r="A297" s="3" t="s">
        <v>175</v>
      </c>
      <c r="B297" s="2" t="s">
        <v>7</v>
      </c>
      <c r="C297" s="2" t="s">
        <v>8</v>
      </c>
      <c r="D297" s="2" t="s">
        <v>28</v>
      </c>
      <c r="E297" s="2" t="s">
        <v>24</v>
      </c>
      <c r="F297" s="4">
        <v>4464.43</v>
      </c>
    </row>
    <row r="298" spans="1:6" ht="15" thickBot="1" x14ac:dyDescent="0.35">
      <c r="A298" s="3" t="s">
        <v>176</v>
      </c>
      <c r="B298" s="2" t="s">
        <v>19</v>
      </c>
      <c r="C298" s="2" t="s">
        <v>13</v>
      </c>
      <c r="D298" s="2" t="s">
        <v>14</v>
      </c>
      <c r="E298" s="2" t="s">
        <v>10</v>
      </c>
      <c r="F298" s="4">
        <v>2252.36</v>
      </c>
    </row>
    <row r="299" spans="1:6" ht="15" thickBot="1" x14ac:dyDescent="0.35">
      <c r="A299" s="3" t="s">
        <v>64</v>
      </c>
      <c r="B299" s="2" t="s">
        <v>30</v>
      </c>
      <c r="C299" s="2" t="s">
        <v>8</v>
      </c>
      <c r="D299" s="2" t="s">
        <v>9</v>
      </c>
      <c r="E299" s="2" t="s">
        <v>15</v>
      </c>
      <c r="F299" s="4">
        <v>2203.84</v>
      </c>
    </row>
    <row r="300" spans="1:6" ht="15" thickBot="1" x14ac:dyDescent="0.35">
      <c r="A300" s="3" t="s">
        <v>71</v>
      </c>
      <c r="B300" s="2" t="s">
        <v>7</v>
      </c>
      <c r="C300" s="2" t="s">
        <v>34</v>
      </c>
      <c r="D300" s="2" t="s">
        <v>14</v>
      </c>
      <c r="E300" s="2" t="s">
        <v>15</v>
      </c>
      <c r="F300" s="4">
        <v>673.38</v>
      </c>
    </row>
    <row r="301" spans="1:6" ht="15" thickBot="1" x14ac:dyDescent="0.35">
      <c r="A301" s="3" t="s">
        <v>153</v>
      </c>
      <c r="B301" s="2" t="s">
        <v>7</v>
      </c>
      <c r="C301" s="2" t="s">
        <v>23</v>
      </c>
      <c r="D301" s="2" t="s">
        <v>28</v>
      </c>
      <c r="E301" s="2" t="s">
        <v>10</v>
      </c>
      <c r="F301" s="4">
        <v>3879.17</v>
      </c>
    </row>
    <row r="302" spans="1:6" ht="15" thickBot="1" x14ac:dyDescent="0.35">
      <c r="A302" s="3" t="s">
        <v>150</v>
      </c>
      <c r="B302" s="2" t="s">
        <v>30</v>
      </c>
      <c r="C302" s="2" t="s">
        <v>8</v>
      </c>
      <c r="D302" s="2" t="s">
        <v>28</v>
      </c>
      <c r="E302" s="2" t="s">
        <v>15</v>
      </c>
      <c r="F302" s="4">
        <v>404.42</v>
      </c>
    </row>
    <row r="303" spans="1:6" ht="15" thickBot="1" x14ac:dyDescent="0.35">
      <c r="A303" s="3" t="s">
        <v>82</v>
      </c>
      <c r="B303" s="2" t="s">
        <v>17</v>
      </c>
      <c r="C303" s="2" t="s">
        <v>23</v>
      </c>
      <c r="D303" s="2" t="s">
        <v>9</v>
      </c>
      <c r="E303" s="2" t="s">
        <v>24</v>
      </c>
      <c r="F303" s="4">
        <v>3415.97</v>
      </c>
    </row>
    <row r="304" spans="1:6" ht="15" thickBot="1" x14ac:dyDescent="0.35">
      <c r="A304" s="3" t="s">
        <v>124</v>
      </c>
      <c r="B304" s="2" t="s">
        <v>12</v>
      </c>
      <c r="C304" s="2" t="s">
        <v>23</v>
      </c>
      <c r="D304" s="2" t="s">
        <v>9</v>
      </c>
      <c r="E304" s="2" t="s">
        <v>10</v>
      </c>
      <c r="F304" s="4">
        <v>3091.3923770000001</v>
      </c>
    </row>
    <row r="305" spans="1:6" ht="15" thickBot="1" x14ac:dyDescent="0.35">
      <c r="A305" s="3" t="s">
        <v>66</v>
      </c>
      <c r="B305" s="2" t="s">
        <v>30</v>
      </c>
      <c r="C305" s="2" t="s">
        <v>23</v>
      </c>
      <c r="D305" s="2" t="s">
        <v>28</v>
      </c>
      <c r="E305" s="2" t="s">
        <v>24</v>
      </c>
      <c r="F305" s="4">
        <v>3216.77</v>
      </c>
    </row>
    <row r="306" spans="1:6" ht="15" thickBot="1" x14ac:dyDescent="0.35">
      <c r="A306" s="3" t="s">
        <v>40</v>
      </c>
      <c r="B306" s="2" t="s">
        <v>19</v>
      </c>
      <c r="C306" s="2" t="s">
        <v>8</v>
      </c>
      <c r="D306" s="2" t="s">
        <v>9</v>
      </c>
      <c r="E306" s="2" t="s">
        <v>10</v>
      </c>
      <c r="F306" s="4">
        <v>2200.2044230000001</v>
      </c>
    </row>
    <row r="307" spans="1:6" ht="15" thickBot="1" x14ac:dyDescent="0.35">
      <c r="A307" s="3" t="s">
        <v>72</v>
      </c>
      <c r="B307" s="2" t="s">
        <v>19</v>
      </c>
      <c r="C307" s="2" t="s">
        <v>8</v>
      </c>
      <c r="D307" s="2" t="s">
        <v>14</v>
      </c>
      <c r="E307" s="2" t="s">
        <v>15</v>
      </c>
      <c r="F307" s="4">
        <v>4874.88</v>
      </c>
    </row>
    <row r="308" spans="1:6" ht="15" thickBot="1" x14ac:dyDescent="0.35">
      <c r="A308" s="3" t="s">
        <v>63</v>
      </c>
      <c r="B308" s="2" t="s">
        <v>12</v>
      </c>
      <c r="C308" s="2" t="s">
        <v>34</v>
      </c>
      <c r="D308" s="2" t="s">
        <v>14</v>
      </c>
      <c r="E308" s="2" t="s">
        <v>24</v>
      </c>
      <c r="F308" s="4">
        <v>3104.55</v>
      </c>
    </row>
    <row r="309" spans="1:6" ht="15" thickBot="1" x14ac:dyDescent="0.35">
      <c r="A309" s="3" t="s">
        <v>62</v>
      </c>
      <c r="B309" s="2" t="s">
        <v>30</v>
      </c>
      <c r="C309" s="2" t="s">
        <v>8</v>
      </c>
      <c r="D309" s="2" t="s">
        <v>9</v>
      </c>
      <c r="E309" s="2" t="s">
        <v>24</v>
      </c>
      <c r="F309" s="4">
        <v>3500.3246159999999</v>
      </c>
    </row>
    <row r="310" spans="1:6" ht="15" thickBot="1" x14ac:dyDescent="0.35">
      <c r="A310" s="3" t="s">
        <v>153</v>
      </c>
      <c r="B310" s="2" t="s">
        <v>7</v>
      </c>
      <c r="C310" s="2" t="s">
        <v>23</v>
      </c>
      <c r="D310" s="2" t="s">
        <v>9</v>
      </c>
      <c r="E310" s="2" t="s">
        <v>10</v>
      </c>
      <c r="F310" s="4">
        <v>3041.1635329999999</v>
      </c>
    </row>
    <row r="311" spans="1:6" ht="15" thickBot="1" x14ac:dyDescent="0.35">
      <c r="A311" s="3" t="s">
        <v>177</v>
      </c>
      <c r="B311" s="2" t="s">
        <v>7</v>
      </c>
      <c r="C311" s="2" t="s">
        <v>8</v>
      </c>
      <c r="D311" s="2" t="s">
        <v>9</v>
      </c>
      <c r="E311" s="2" t="s">
        <v>10</v>
      </c>
      <c r="F311" s="4">
        <v>4584.1555330000001</v>
      </c>
    </row>
    <row r="312" spans="1:6" ht="15" thickBot="1" x14ac:dyDescent="0.35">
      <c r="A312" s="3" t="s">
        <v>139</v>
      </c>
      <c r="B312" s="2" t="s">
        <v>7</v>
      </c>
      <c r="C312" s="2" t="s">
        <v>34</v>
      </c>
      <c r="D312" s="2" t="s">
        <v>9</v>
      </c>
      <c r="E312" s="2" t="s">
        <v>10</v>
      </c>
      <c r="F312" s="4">
        <v>3894.0086139999999</v>
      </c>
    </row>
    <row r="313" spans="1:6" ht="15" thickBot="1" x14ac:dyDescent="0.35">
      <c r="A313" s="3" t="s">
        <v>62</v>
      </c>
      <c r="B313" s="2" t="s">
        <v>30</v>
      </c>
      <c r="C313" s="2" t="s">
        <v>13</v>
      </c>
      <c r="D313" s="2" t="s">
        <v>14</v>
      </c>
      <c r="E313" s="2" t="s">
        <v>10</v>
      </c>
      <c r="F313" s="4">
        <v>1782.56</v>
      </c>
    </row>
    <row r="314" spans="1:6" ht="15" thickBot="1" x14ac:dyDescent="0.35">
      <c r="A314" s="3" t="s">
        <v>29</v>
      </c>
      <c r="B314" s="2" t="s">
        <v>30</v>
      </c>
      <c r="C314" s="2" t="s">
        <v>34</v>
      </c>
      <c r="D314" s="2" t="s">
        <v>28</v>
      </c>
      <c r="E314" s="2" t="s">
        <v>10</v>
      </c>
      <c r="F314" s="4">
        <v>4386.96</v>
      </c>
    </row>
    <row r="315" spans="1:6" ht="15" thickBot="1" x14ac:dyDescent="0.35">
      <c r="A315" s="3" t="s">
        <v>113</v>
      </c>
      <c r="B315" s="2" t="s">
        <v>30</v>
      </c>
      <c r="C315" s="2" t="s">
        <v>8</v>
      </c>
      <c r="D315" s="2" t="s">
        <v>28</v>
      </c>
      <c r="E315" s="2" t="s">
        <v>24</v>
      </c>
      <c r="F315" s="4">
        <v>644.96</v>
      </c>
    </row>
    <row r="316" spans="1:6" ht="15" thickBot="1" x14ac:dyDescent="0.35">
      <c r="A316" s="3" t="s">
        <v>178</v>
      </c>
      <c r="B316" s="2" t="s">
        <v>30</v>
      </c>
      <c r="C316" s="2" t="s">
        <v>34</v>
      </c>
      <c r="D316" s="2" t="s">
        <v>14</v>
      </c>
      <c r="E316" s="2" t="s">
        <v>10</v>
      </c>
      <c r="F316" s="4">
        <v>1942.26</v>
      </c>
    </row>
    <row r="317" spans="1:6" ht="15" thickBot="1" x14ac:dyDescent="0.35">
      <c r="A317" s="3" t="s">
        <v>81</v>
      </c>
      <c r="B317" s="2" t="s">
        <v>12</v>
      </c>
      <c r="C317" s="2" t="s">
        <v>34</v>
      </c>
      <c r="D317" s="2" t="s">
        <v>28</v>
      </c>
      <c r="E317" s="2" t="s">
        <v>10</v>
      </c>
      <c r="F317" s="4">
        <v>1990.87</v>
      </c>
    </row>
    <row r="318" spans="1:6" ht="15" thickBot="1" x14ac:dyDescent="0.35">
      <c r="A318" s="3" t="s">
        <v>71</v>
      </c>
      <c r="B318" s="2" t="s">
        <v>7</v>
      </c>
      <c r="C318" s="2" t="s">
        <v>23</v>
      </c>
      <c r="D318" s="2" t="s">
        <v>14</v>
      </c>
      <c r="E318" s="2" t="s">
        <v>15</v>
      </c>
      <c r="F318" s="4">
        <v>3260.58</v>
      </c>
    </row>
    <row r="319" spans="1:6" ht="15" thickBot="1" x14ac:dyDescent="0.35">
      <c r="A319" s="3" t="s">
        <v>50</v>
      </c>
      <c r="B319" s="2" t="s">
        <v>19</v>
      </c>
      <c r="C319" s="2" t="s">
        <v>34</v>
      </c>
      <c r="D319" s="2" t="s">
        <v>14</v>
      </c>
      <c r="E319" s="2" t="s">
        <v>10</v>
      </c>
      <c r="F319" s="4">
        <v>1079.0999999999999</v>
      </c>
    </row>
    <row r="320" spans="1:6" ht="15" thickBot="1" x14ac:dyDescent="0.35">
      <c r="A320" s="3" t="s">
        <v>95</v>
      </c>
      <c r="B320" s="2" t="s">
        <v>30</v>
      </c>
      <c r="C320" s="2" t="s">
        <v>23</v>
      </c>
      <c r="D320" s="2" t="s">
        <v>28</v>
      </c>
      <c r="E320" s="2" t="s">
        <v>15</v>
      </c>
      <c r="F320" s="4">
        <v>2675.56</v>
      </c>
    </row>
    <row r="321" spans="1:6" ht="15" thickBot="1" x14ac:dyDescent="0.35">
      <c r="A321" s="3" t="s">
        <v>11</v>
      </c>
      <c r="B321" s="2" t="s">
        <v>12</v>
      </c>
      <c r="C321" s="2" t="s">
        <v>13</v>
      </c>
      <c r="D321" s="2" t="s">
        <v>28</v>
      </c>
      <c r="E321" s="2" t="s">
        <v>15</v>
      </c>
      <c r="F321" s="4">
        <v>1583.52</v>
      </c>
    </row>
    <row r="322" spans="1:6" ht="15" thickBot="1" x14ac:dyDescent="0.35">
      <c r="A322" s="3" t="s">
        <v>179</v>
      </c>
      <c r="B322" s="2" t="s">
        <v>7</v>
      </c>
      <c r="C322" s="2" t="s">
        <v>23</v>
      </c>
      <c r="D322" s="2" t="s">
        <v>28</v>
      </c>
      <c r="E322" s="2" t="s">
        <v>15</v>
      </c>
      <c r="F322" s="4">
        <v>4798.47</v>
      </c>
    </row>
    <row r="323" spans="1:6" ht="15" thickBot="1" x14ac:dyDescent="0.35">
      <c r="A323" s="3" t="s">
        <v>148</v>
      </c>
      <c r="B323" s="2" t="s">
        <v>17</v>
      </c>
      <c r="C323" s="2" t="s">
        <v>13</v>
      </c>
      <c r="D323" s="2" t="s">
        <v>28</v>
      </c>
      <c r="E323" s="2" t="s">
        <v>24</v>
      </c>
      <c r="F323" s="4">
        <v>856.9</v>
      </c>
    </row>
    <row r="324" spans="1:6" ht="15" thickBot="1" x14ac:dyDescent="0.35">
      <c r="A324" s="3" t="s">
        <v>44</v>
      </c>
      <c r="B324" s="2" t="s">
        <v>19</v>
      </c>
      <c r="C324" s="2" t="s">
        <v>8</v>
      </c>
      <c r="D324" s="2" t="s">
        <v>9</v>
      </c>
      <c r="E324" s="2" t="s">
        <v>10</v>
      </c>
      <c r="F324" s="4">
        <v>1158.628164</v>
      </c>
    </row>
    <row r="325" spans="1:6" ht="15" thickBot="1" x14ac:dyDescent="0.35">
      <c r="A325" s="3" t="s">
        <v>164</v>
      </c>
      <c r="B325" s="2" t="s">
        <v>19</v>
      </c>
      <c r="C325" s="2" t="s">
        <v>8</v>
      </c>
      <c r="D325" s="2" t="s">
        <v>9</v>
      </c>
      <c r="E325" s="2" t="s">
        <v>15</v>
      </c>
      <c r="F325" s="4">
        <v>5208.6131420000002</v>
      </c>
    </row>
    <row r="326" spans="1:6" ht="15" thickBot="1" x14ac:dyDescent="0.35">
      <c r="A326" s="3" t="s">
        <v>180</v>
      </c>
      <c r="B326" s="2" t="s">
        <v>30</v>
      </c>
      <c r="C326" s="2" t="s">
        <v>8</v>
      </c>
      <c r="D326" s="2" t="s">
        <v>28</v>
      </c>
      <c r="E326" s="2" t="s">
        <v>15</v>
      </c>
      <c r="F326" s="4">
        <v>4745.3</v>
      </c>
    </row>
    <row r="327" spans="1:6" ht="15" thickBot="1" x14ac:dyDescent="0.35">
      <c r="A327" s="3" t="s">
        <v>181</v>
      </c>
      <c r="B327" s="2" t="s">
        <v>30</v>
      </c>
      <c r="C327" s="2" t="s">
        <v>34</v>
      </c>
      <c r="D327" s="2" t="s">
        <v>9</v>
      </c>
      <c r="E327" s="2" t="s">
        <v>10</v>
      </c>
      <c r="F327" s="4">
        <v>693.43404539999995</v>
      </c>
    </row>
    <row r="328" spans="1:6" ht="15" thickBot="1" x14ac:dyDescent="0.35">
      <c r="A328" s="3" t="s">
        <v>151</v>
      </c>
      <c r="B328" s="2" t="s">
        <v>12</v>
      </c>
      <c r="C328" s="2" t="s">
        <v>8</v>
      </c>
      <c r="D328" s="2" t="s">
        <v>14</v>
      </c>
      <c r="E328" s="2" t="s">
        <v>15</v>
      </c>
      <c r="F328" s="4">
        <v>3285.65</v>
      </c>
    </row>
    <row r="329" spans="1:6" ht="15" thickBot="1" x14ac:dyDescent="0.35">
      <c r="A329" s="3" t="s">
        <v>86</v>
      </c>
      <c r="B329" s="2" t="s">
        <v>19</v>
      </c>
      <c r="C329" s="2" t="s">
        <v>34</v>
      </c>
      <c r="D329" s="2" t="s">
        <v>28</v>
      </c>
      <c r="E329" s="2" t="s">
        <v>24</v>
      </c>
      <c r="F329" s="4">
        <v>2731.22</v>
      </c>
    </row>
    <row r="330" spans="1:6" ht="15" thickBot="1" x14ac:dyDescent="0.35">
      <c r="A330" s="3" t="s">
        <v>96</v>
      </c>
      <c r="B330" s="2" t="s">
        <v>19</v>
      </c>
      <c r="C330" s="2" t="s">
        <v>8</v>
      </c>
      <c r="D330" s="2" t="s">
        <v>9</v>
      </c>
      <c r="E330" s="2" t="s">
        <v>10</v>
      </c>
      <c r="F330" s="4">
        <v>2767.5414519999999</v>
      </c>
    </row>
    <row r="331" spans="1:6" ht="15" thickBot="1" x14ac:dyDescent="0.35">
      <c r="A331" s="3" t="s">
        <v>182</v>
      </c>
      <c r="B331" s="2" t="s">
        <v>12</v>
      </c>
      <c r="C331" s="2" t="s">
        <v>13</v>
      </c>
      <c r="D331" s="2" t="s">
        <v>28</v>
      </c>
      <c r="E331" s="2" t="s">
        <v>24</v>
      </c>
      <c r="F331" s="4">
        <v>1719.12</v>
      </c>
    </row>
    <row r="332" spans="1:6" ht="15" thickBot="1" x14ac:dyDescent="0.35">
      <c r="A332" s="3" t="s">
        <v>45</v>
      </c>
      <c r="B332" s="2" t="s">
        <v>7</v>
      </c>
      <c r="C332" s="2" t="s">
        <v>34</v>
      </c>
      <c r="D332" s="2" t="s">
        <v>14</v>
      </c>
      <c r="E332" s="2" t="s">
        <v>24</v>
      </c>
      <c r="F332" s="4">
        <v>2475.83</v>
      </c>
    </row>
    <row r="333" spans="1:6" ht="15" thickBot="1" x14ac:dyDescent="0.35">
      <c r="A333" s="3" t="s">
        <v>146</v>
      </c>
      <c r="B333" s="2" t="s">
        <v>7</v>
      </c>
      <c r="C333" s="2" t="s">
        <v>13</v>
      </c>
      <c r="D333" s="2" t="s">
        <v>9</v>
      </c>
      <c r="E333" s="2" t="s">
        <v>10</v>
      </c>
      <c r="F333" s="4">
        <v>891.04242390000002</v>
      </c>
    </row>
    <row r="334" spans="1:6" ht="15" thickBot="1" x14ac:dyDescent="0.35">
      <c r="A334" s="3" t="s">
        <v>183</v>
      </c>
      <c r="B334" s="2" t="s">
        <v>7</v>
      </c>
      <c r="C334" s="2" t="s">
        <v>34</v>
      </c>
      <c r="D334" s="2" t="s">
        <v>14</v>
      </c>
      <c r="E334" s="2" t="s">
        <v>10</v>
      </c>
      <c r="F334" s="4">
        <v>4421.93</v>
      </c>
    </row>
    <row r="335" spans="1:6" ht="15" thickBot="1" x14ac:dyDescent="0.35">
      <c r="A335" s="3" t="s">
        <v>46</v>
      </c>
      <c r="B335" s="2" t="s">
        <v>30</v>
      </c>
      <c r="C335" s="2" t="s">
        <v>23</v>
      </c>
      <c r="D335" s="2" t="s">
        <v>14</v>
      </c>
      <c r="E335" s="2" t="s">
        <v>10</v>
      </c>
      <c r="F335" s="4">
        <v>3545.18</v>
      </c>
    </row>
    <row r="336" spans="1:6" ht="15" thickBot="1" x14ac:dyDescent="0.35">
      <c r="A336" s="3" t="s">
        <v>120</v>
      </c>
      <c r="B336" s="2" t="s">
        <v>30</v>
      </c>
      <c r="C336" s="2" t="s">
        <v>34</v>
      </c>
      <c r="D336" s="2" t="s">
        <v>14</v>
      </c>
      <c r="E336" s="2" t="s">
        <v>15</v>
      </c>
      <c r="F336" s="4">
        <v>3073.82</v>
      </c>
    </row>
    <row r="337" spans="1:6" ht="15" thickBot="1" x14ac:dyDescent="0.35">
      <c r="A337" s="3" t="s">
        <v>146</v>
      </c>
      <c r="B337" s="2" t="s">
        <v>7</v>
      </c>
      <c r="C337" s="2" t="s">
        <v>13</v>
      </c>
      <c r="D337" s="2" t="s">
        <v>28</v>
      </c>
      <c r="E337" s="2" t="s">
        <v>15</v>
      </c>
      <c r="F337" s="4">
        <v>1458.83</v>
      </c>
    </row>
    <row r="338" spans="1:6" ht="15" thickBot="1" x14ac:dyDescent="0.35">
      <c r="A338" s="3" t="s">
        <v>184</v>
      </c>
      <c r="B338" s="2" t="s">
        <v>30</v>
      </c>
      <c r="C338" s="2" t="s">
        <v>8</v>
      </c>
      <c r="D338" s="2" t="s">
        <v>28</v>
      </c>
      <c r="E338" s="2" t="s">
        <v>24</v>
      </c>
      <c r="F338" s="4">
        <v>3457.1</v>
      </c>
    </row>
    <row r="339" spans="1:6" ht="15" thickBot="1" x14ac:dyDescent="0.35">
      <c r="A339" s="3" t="s">
        <v>52</v>
      </c>
      <c r="B339" s="2" t="s">
        <v>19</v>
      </c>
      <c r="C339" s="2" t="s">
        <v>8</v>
      </c>
      <c r="D339" s="2" t="s">
        <v>9</v>
      </c>
      <c r="E339" s="2" t="s">
        <v>15</v>
      </c>
      <c r="F339" s="4">
        <v>1857.3661520000001</v>
      </c>
    </row>
    <row r="340" spans="1:6" ht="15" thickBot="1" x14ac:dyDescent="0.35">
      <c r="A340" s="3" t="s">
        <v>63</v>
      </c>
      <c r="B340" s="2" t="s">
        <v>12</v>
      </c>
      <c r="C340" s="2" t="s">
        <v>34</v>
      </c>
      <c r="D340" s="2" t="s">
        <v>9</v>
      </c>
      <c r="E340" s="2" t="s">
        <v>10</v>
      </c>
      <c r="F340" s="4">
        <v>877.72838560000002</v>
      </c>
    </row>
    <row r="341" spans="1:6" ht="15" thickBot="1" x14ac:dyDescent="0.35">
      <c r="A341" s="3" t="s">
        <v>130</v>
      </c>
      <c r="B341" s="2" t="s">
        <v>12</v>
      </c>
      <c r="C341" s="2" t="s">
        <v>34</v>
      </c>
      <c r="D341" s="2" t="s">
        <v>9</v>
      </c>
      <c r="E341" s="2" t="s">
        <v>10</v>
      </c>
      <c r="F341" s="4">
        <v>1349.7273479999999</v>
      </c>
    </row>
    <row r="342" spans="1:6" ht="15" thickBot="1" x14ac:dyDescent="0.35">
      <c r="A342" s="3" t="s">
        <v>54</v>
      </c>
      <c r="B342" s="2" t="s">
        <v>12</v>
      </c>
      <c r="C342" s="2" t="s">
        <v>34</v>
      </c>
      <c r="D342" s="2" t="s">
        <v>9</v>
      </c>
      <c r="E342" s="2" t="s">
        <v>24</v>
      </c>
      <c r="F342" s="4">
        <v>5028.9440119999999</v>
      </c>
    </row>
    <row r="343" spans="1:6" ht="15" thickBot="1" x14ac:dyDescent="0.35">
      <c r="A343" s="3" t="s">
        <v>51</v>
      </c>
      <c r="B343" s="2" t="s">
        <v>30</v>
      </c>
      <c r="C343" s="2" t="s">
        <v>34</v>
      </c>
      <c r="D343" s="2" t="s">
        <v>9</v>
      </c>
      <c r="E343" s="2" t="s">
        <v>15</v>
      </c>
      <c r="F343" s="4">
        <v>4368.4298479999998</v>
      </c>
    </row>
    <row r="344" spans="1:6" ht="15" thickBot="1" x14ac:dyDescent="0.35">
      <c r="A344" s="3" t="s">
        <v>22</v>
      </c>
      <c r="B344" s="2" t="s">
        <v>12</v>
      </c>
      <c r="C344" s="2" t="s">
        <v>23</v>
      </c>
      <c r="D344" s="2" t="s">
        <v>14</v>
      </c>
      <c r="E344" s="2" t="s">
        <v>15</v>
      </c>
      <c r="F344" s="4">
        <v>3793.84</v>
      </c>
    </row>
    <row r="345" spans="1:6" ht="15" thickBot="1" x14ac:dyDescent="0.35">
      <c r="A345" s="3" t="s">
        <v>45</v>
      </c>
      <c r="B345" s="2" t="s">
        <v>7</v>
      </c>
      <c r="C345" s="2" t="s">
        <v>8</v>
      </c>
      <c r="D345" s="2" t="s">
        <v>28</v>
      </c>
      <c r="E345" s="2" t="s">
        <v>15</v>
      </c>
      <c r="F345" s="4">
        <v>944.95</v>
      </c>
    </row>
    <row r="346" spans="1:6" ht="15" thickBot="1" x14ac:dyDescent="0.35">
      <c r="A346" s="3" t="s">
        <v>103</v>
      </c>
      <c r="B346" s="2" t="s">
        <v>19</v>
      </c>
      <c r="C346" s="2" t="s">
        <v>23</v>
      </c>
      <c r="D346" s="2" t="s">
        <v>9</v>
      </c>
      <c r="E346" s="2" t="s">
        <v>15</v>
      </c>
      <c r="F346" s="4">
        <v>2973.3029620000002</v>
      </c>
    </row>
    <row r="347" spans="1:6" ht="15" thickBot="1" x14ac:dyDescent="0.35">
      <c r="A347" s="3" t="s">
        <v>110</v>
      </c>
      <c r="B347" s="2" t="s">
        <v>12</v>
      </c>
      <c r="C347" s="2" t="s">
        <v>8</v>
      </c>
      <c r="D347" s="2" t="s">
        <v>9</v>
      </c>
      <c r="E347" s="2" t="s">
        <v>24</v>
      </c>
      <c r="F347" s="4">
        <v>3422.23</v>
      </c>
    </row>
    <row r="348" spans="1:6" ht="15" thickBot="1" x14ac:dyDescent="0.35">
      <c r="A348" s="3" t="s">
        <v>48</v>
      </c>
      <c r="B348" s="2" t="s">
        <v>19</v>
      </c>
      <c r="C348" s="2" t="s">
        <v>13</v>
      </c>
      <c r="D348" s="2" t="s">
        <v>28</v>
      </c>
      <c r="E348" s="2" t="s">
        <v>15</v>
      </c>
      <c r="F348" s="4">
        <v>3754.94</v>
      </c>
    </row>
    <row r="349" spans="1:6" ht="15" thickBot="1" x14ac:dyDescent="0.35">
      <c r="A349" s="3" t="s">
        <v>172</v>
      </c>
      <c r="B349" s="2" t="s">
        <v>7</v>
      </c>
      <c r="C349" s="2" t="s">
        <v>8</v>
      </c>
      <c r="D349" s="2" t="s">
        <v>9</v>
      </c>
      <c r="E349" s="2" t="s">
        <v>24</v>
      </c>
      <c r="F349" s="4">
        <v>1213.4732180000001</v>
      </c>
    </row>
    <row r="350" spans="1:6" ht="15" thickBot="1" x14ac:dyDescent="0.35">
      <c r="A350" s="3" t="s">
        <v>115</v>
      </c>
      <c r="B350" s="2" t="s">
        <v>19</v>
      </c>
      <c r="C350" s="2" t="s">
        <v>13</v>
      </c>
      <c r="D350" s="2" t="s">
        <v>28</v>
      </c>
      <c r="E350" s="2" t="s">
        <v>24</v>
      </c>
      <c r="F350" s="4">
        <v>358.65</v>
      </c>
    </row>
    <row r="351" spans="1:6" ht="15" thickBot="1" x14ac:dyDescent="0.35">
      <c r="A351" s="3" t="s">
        <v>185</v>
      </c>
      <c r="B351" s="2" t="s">
        <v>30</v>
      </c>
      <c r="C351" s="2" t="s">
        <v>13</v>
      </c>
      <c r="D351" s="2" t="s">
        <v>14</v>
      </c>
      <c r="E351" s="2" t="s">
        <v>24</v>
      </c>
      <c r="F351" s="4">
        <v>3630.35</v>
      </c>
    </row>
    <row r="352" spans="1:6" ht="15" thickBot="1" x14ac:dyDescent="0.35">
      <c r="A352" s="3" t="s">
        <v>172</v>
      </c>
      <c r="B352" s="2" t="s">
        <v>7</v>
      </c>
      <c r="C352" s="2" t="s">
        <v>23</v>
      </c>
      <c r="D352" s="2" t="s">
        <v>28</v>
      </c>
      <c r="E352" s="2" t="s">
        <v>10</v>
      </c>
      <c r="F352" s="4">
        <v>3966.5</v>
      </c>
    </row>
    <row r="353" spans="1:6" ht="15" thickBot="1" x14ac:dyDescent="0.35">
      <c r="A353" s="3" t="s">
        <v>172</v>
      </c>
      <c r="B353" s="2" t="s">
        <v>7</v>
      </c>
      <c r="C353" s="2" t="s">
        <v>34</v>
      </c>
      <c r="D353" s="2" t="s">
        <v>9</v>
      </c>
      <c r="E353" s="2" t="s">
        <v>10</v>
      </c>
      <c r="F353" s="4">
        <v>3886.2318919999998</v>
      </c>
    </row>
    <row r="354" spans="1:6" ht="15" thickBot="1" x14ac:dyDescent="0.35">
      <c r="A354" s="3" t="s">
        <v>186</v>
      </c>
      <c r="B354" s="2" t="s">
        <v>30</v>
      </c>
      <c r="C354" s="2" t="s">
        <v>23</v>
      </c>
      <c r="D354" s="2" t="s">
        <v>9</v>
      </c>
      <c r="E354" s="2" t="s">
        <v>10</v>
      </c>
      <c r="F354" s="4">
        <v>1898.1840259999999</v>
      </c>
    </row>
    <row r="355" spans="1:6" ht="15" thickBot="1" x14ac:dyDescent="0.35">
      <c r="A355" s="3" t="s">
        <v>110</v>
      </c>
      <c r="B355" s="2" t="s">
        <v>12</v>
      </c>
      <c r="C355" s="2" t="s">
        <v>23</v>
      </c>
      <c r="D355" s="2" t="s">
        <v>28</v>
      </c>
      <c r="E355" s="2" t="s">
        <v>15</v>
      </c>
      <c r="F355" s="4">
        <v>1366.72</v>
      </c>
    </row>
    <row r="356" spans="1:6" ht="15" thickBot="1" x14ac:dyDescent="0.35">
      <c r="A356" s="3" t="s">
        <v>149</v>
      </c>
      <c r="B356" s="2" t="s">
        <v>17</v>
      </c>
      <c r="C356" s="2" t="s">
        <v>23</v>
      </c>
      <c r="D356" s="2" t="s">
        <v>9</v>
      </c>
      <c r="E356" s="2" t="s">
        <v>24</v>
      </c>
      <c r="F356" s="4">
        <v>1988.1353349999999</v>
      </c>
    </row>
    <row r="357" spans="1:6" ht="15" thickBot="1" x14ac:dyDescent="0.35">
      <c r="A357" s="3" t="s">
        <v>157</v>
      </c>
      <c r="B357" s="2" t="s">
        <v>30</v>
      </c>
      <c r="C357" s="2" t="s">
        <v>13</v>
      </c>
      <c r="D357" s="2" t="s">
        <v>28</v>
      </c>
      <c r="E357" s="2" t="s">
        <v>15</v>
      </c>
      <c r="F357" s="4">
        <v>2529.38</v>
      </c>
    </row>
    <row r="358" spans="1:6" ht="15" thickBot="1" x14ac:dyDescent="0.35">
      <c r="A358" s="3" t="s">
        <v>60</v>
      </c>
      <c r="B358" s="2" t="s">
        <v>12</v>
      </c>
      <c r="C358" s="2" t="s">
        <v>13</v>
      </c>
      <c r="D358" s="2" t="s">
        <v>28</v>
      </c>
      <c r="E358" s="2" t="s">
        <v>10</v>
      </c>
      <c r="F358" s="4">
        <v>3229.82</v>
      </c>
    </row>
    <row r="359" spans="1:6" ht="15" thickBot="1" x14ac:dyDescent="0.35">
      <c r="A359" s="3" t="s">
        <v>54</v>
      </c>
      <c r="B359" s="2" t="s">
        <v>12</v>
      </c>
      <c r="C359" s="2" t="s">
        <v>13</v>
      </c>
      <c r="D359" s="2" t="s">
        <v>14</v>
      </c>
      <c r="E359" s="2" t="s">
        <v>24</v>
      </c>
      <c r="F359" s="4">
        <v>1835.81</v>
      </c>
    </row>
    <row r="360" spans="1:6" ht="15" thickBot="1" x14ac:dyDescent="0.35">
      <c r="A360" s="3" t="s">
        <v>27</v>
      </c>
      <c r="B360" s="2" t="s">
        <v>12</v>
      </c>
      <c r="C360" s="2" t="s">
        <v>23</v>
      </c>
      <c r="D360" s="2" t="s">
        <v>9</v>
      </c>
      <c r="E360" s="2" t="s">
        <v>24</v>
      </c>
      <c r="F360" s="4">
        <v>4463.7645069999999</v>
      </c>
    </row>
    <row r="361" spans="1:6" ht="15" thickBot="1" x14ac:dyDescent="0.35">
      <c r="A361" s="3" t="s">
        <v>134</v>
      </c>
      <c r="B361" s="2" t="s">
        <v>7</v>
      </c>
      <c r="C361" s="2" t="s">
        <v>13</v>
      </c>
      <c r="D361" s="2" t="s">
        <v>9</v>
      </c>
      <c r="E361" s="2" t="s">
        <v>10</v>
      </c>
      <c r="F361" s="4">
        <v>2646.5870319999999</v>
      </c>
    </row>
    <row r="362" spans="1:6" ht="15" thickBot="1" x14ac:dyDescent="0.35">
      <c r="A362" s="3" t="s">
        <v>47</v>
      </c>
      <c r="B362" s="2" t="s">
        <v>30</v>
      </c>
      <c r="C362" s="2" t="s">
        <v>23</v>
      </c>
      <c r="D362" s="2" t="s">
        <v>9</v>
      </c>
      <c r="E362" s="2" t="s">
        <v>24</v>
      </c>
      <c r="F362" s="4">
        <v>3222.4658469999999</v>
      </c>
    </row>
    <row r="363" spans="1:6" ht="15" thickBot="1" x14ac:dyDescent="0.35">
      <c r="A363" s="3" t="s">
        <v>126</v>
      </c>
      <c r="B363" s="2" t="s">
        <v>30</v>
      </c>
      <c r="C363" s="2" t="s">
        <v>23</v>
      </c>
      <c r="D363" s="2" t="s">
        <v>14</v>
      </c>
      <c r="E363" s="2" t="s">
        <v>10</v>
      </c>
      <c r="F363" s="4">
        <v>3493.4</v>
      </c>
    </row>
    <row r="364" spans="1:6" ht="15" thickBot="1" x14ac:dyDescent="0.35">
      <c r="A364" s="3" t="s">
        <v>103</v>
      </c>
      <c r="B364" s="2" t="s">
        <v>19</v>
      </c>
      <c r="C364" s="2" t="s">
        <v>23</v>
      </c>
      <c r="D364" s="2" t="s">
        <v>28</v>
      </c>
      <c r="E364" s="2" t="s">
        <v>24</v>
      </c>
      <c r="F364" s="4">
        <v>871.61</v>
      </c>
    </row>
    <row r="365" spans="1:6" ht="15" thickBot="1" x14ac:dyDescent="0.35">
      <c r="A365" s="3" t="s">
        <v>80</v>
      </c>
      <c r="B365" s="2" t="s">
        <v>17</v>
      </c>
      <c r="C365" s="2" t="s">
        <v>23</v>
      </c>
      <c r="D365" s="2" t="s">
        <v>28</v>
      </c>
      <c r="E365" s="2" t="s">
        <v>15</v>
      </c>
      <c r="F365" s="4">
        <v>407.43</v>
      </c>
    </row>
    <row r="366" spans="1:6" ht="15" thickBot="1" x14ac:dyDescent="0.35">
      <c r="A366" s="3" t="s">
        <v>71</v>
      </c>
      <c r="B366" s="2" t="s">
        <v>7</v>
      </c>
      <c r="C366" s="2" t="s">
        <v>23</v>
      </c>
      <c r="D366" s="2" t="s">
        <v>28</v>
      </c>
      <c r="E366" s="2" t="s">
        <v>10</v>
      </c>
      <c r="F366" s="4">
        <v>4341.34</v>
      </c>
    </row>
    <row r="367" spans="1:6" ht="15" thickBot="1" x14ac:dyDescent="0.35">
      <c r="A367" s="3" t="s">
        <v>187</v>
      </c>
      <c r="B367" s="2" t="s">
        <v>19</v>
      </c>
      <c r="C367" s="2" t="s">
        <v>13</v>
      </c>
      <c r="D367" s="2" t="s">
        <v>9</v>
      </c>
      <c r="E367" s="2" t="s">
        <v>15</v>
      </c>
      <c r="F367" s="4">
        <v>1935.295691</v>
      </c>
    </row>
    <row r="368" spans="1:6" ht="15" thickBot="1" x14ac:dyDescent="0.35">
      <c r="A368" s="3" t="s">
        <v>160</v>
      </c>
      <c r="B368" s="2" t="s">
        <v>30</v>
      </c>
      <c r="C368" s="2" t="s">
        <v>23</v>
      </c>
      <c r="D368" s="2" t="s">
        <v>14</v>
      </c>
      <c r="E368" s="2" t="s">
        <v>10</v>
      </c>
      <c r="F368" s="4">
        <v>3547.68</v>
      </c>
    </row>
    <row r="369" spans="1:6" ht="15" thickBot="1" x14ac:dyDescent="0.35">
      <c r="A369" s="3" t="s">
        <v>149</v>
      </c>
      <c r="B369" s="2" t="s">
        <v>17</v>
      </c>
      <c r="C369" s="2" t="s">
        <v>34</v>
      </c>
      <c r="D369" s="2" t="s">
        <v>14</v>
      </c>
      <c r="E369" s="2" t="s">
        <v>24</v>
      </c>
      <c r="F369" s="4">
        <v>4904.09</v>
      </c>
    </row>
    <row r="370" spans="1:6" ht="15" thickBot="1" x14ac:dyDescent="0.35">
      <c r="A370" s="3" t="s">
        <v>33</v>
      </c>
      <c r="B370" s="2" t="s">
        <v>19</v>
      </c>
      <c r="C370" s="2" t="s">
        <v>8</v>
      </c>
      <c r="D370" s="2" t="s">
        <v>14</v>
      </c>
      <c r="E370" s="2" t="s">
        <v>10</v>
      </c>
      <c r="F370" s="4">
        <v>3391.08</v>
      </c>
    </row>
    <row r="371" spans="1:6" ht="15" thickBot="1" x14ac:dyDescent="0.35">
      <c r="A371" s="3" t="s">
        <v>64</v>
      </c>
      <c r="B371" s="2" t="s">
        <v>30</v>
      </c>
      <c r="C371" s="2" t="s">
        <v>8</v>
      </c>
      <c r="D371" s="2" t="s">
        <v>28</v>
      </c>
      <c r="E371" s="2" t="s">
        <v>10</v>
      </c>
      <c r="F371" s="4">
        <v>589.80999999999995</v>
      </c>
    </row>
    <row r="372" spans="1:6" ht="15" thickBot="1" x14ac:dyDescent="0.35">
      <c r="A372" s="3" t="s">
        <v>127</v>
      </c>
      <c r="B372" s="2" t="s">
        <v>17</v>
      </c>
      <c r="C372" s="2" t="s">
        <v>13</v>
      </c>
      <c r="D372" s="2" t="s">
        <v>28</v>
      </c>
      <c r="E372" s="2" t="s">
        <v>24</v>
      </c>
      <c r="F372" s="4">
        <v>1487.46</v>
      </c>
    </row>
    <row r="373" spans="1:6" ht="15" thickBot="1" x14ac:dyDescent="0.35">
      <c r="A373" s="3" t="s">
        <v>27</v>
      </c>
      <c r="B373" s="2" t="s">
        <v>12</v>
      </c>
      <c r="C373" s="2" t="s">
        <v>13</v>
      </c>
      <c r="D373" s="2" t="s">
        <v>14</v>
      </c>
      <c r="E373" s="2" t="s">
        <v>24</v>
      </c>
      <c r="F373" s="4">
        <v>2879.35</v>
      </c>
    </row>
    <row r="374" spans="1:6" ht="15" thickBot="1" x14ac:dyDescent="0.35">
      <c r="A374" s="3" t="s">
        <v>45</v>
      </c>
      <c r="B374" s="2" t="s">
        <v>7</v>
      </c>
      <c r="C374" s="2" t="s">
        <v>13</v>
      </c>
      <c r="D374" s="2" t="s">
        <v>28</v>
      </c>
      <c r="E374" s="2" t="s">
        <v>24</v>
      </c>
      <c r="F374" s="4">
        <v>3544.12</v>
      </c>
    </row>
    <row r="375" spans="1:6" ht="15" thickBot="1" x14ac:dyDescent="0.35">
      <c r="A375" s="3" t="s">
        <v>27</v>
      </c>
      <c r="B375" s="2" t="s">
        <v>12</v>
      </c>
      <c r="C375" s="2" t="s">
        <v>8</v>
      </c>
      <c r="D375" s="2" t="s">
        <v>14</v>
      </c>
      <c r="E375" s="2" t="s">
        <v>10</v>
      </c>
      <c r="F375" s="4">
        <v>646.33000000000004</v>
      </c>
    </row>
    <row r="376" spans="1:6" ht="15" thickBot="1" x14ac:dyDescent="0.35">
      <c r="A376" s="3" t="s">
        <v>144</v>
      </c>
      <c r="B376" s="2" t="s">
        <v>30</v>
      </c>
      <c r="C376" s="2" t="s">
        <v>23</v>
      </c>
      <c r="D376" s="2" t="s">
        <v>14</v>
      </c>
      <c r="E376" s="2" t="s">
        <v>10</v>
      </c>
      <c r="F376" s="4">
        <v>1569.86</v>
      </c>
    </row>
    <row r="377" spans="1:6" ht="15" thickBot="1" x14ac:dyDescent="0.35">
      <c r="A377" s="3" t="s">
        <v>166</v>
      </c>
      <c r="B377" s="2" t="s">
        <v>7</v>
      </c>
      <c r="C377" s="2" t="s">
        <v>34</v>
      </c>
      <c r="D377" s="2" t="s">
        <v>28</v>
      </c>
      <c r="E377" s="2" t="s">
        <v>15</v>
      </c>
      <c r="F377" s="4">
        <v>2728.09</v>
      </c>
    </row>
    <row r="378" spans="1:6" ht="15" thickBot="1" x14ac:dyDescent="0.35">
      <c r="A378" s="3" t="s">
        <v>76</v>
      </c>
      <c r="B378" s="2" t="s">
        <v>17</v>
      </c>
      <c r="C378" s="2" t="s">
        <v>23</v>
      </c>
      <c r="D378" s="2" t="s">
        <v>28</v>
      </c>
      <c r="E378" s="2" t="s">
        <v>15</v>
      </c>
      <c r="F378" s="4">
        <v>1865.65</v>
      </c>
    </row>
    <row r="379" spans="1:6" ht="15" thickBot="1" x14ac:dyDescent="0.35">
      <c r="A379" s="3" t="s">
        <v>138</v>
      </c>
      <c r="B379" s="2" t="s">
        <v>12</v>
      </c>
      <c r="C379" s="2" t="s">
        <v>13</v>
      </c>
      <c r="D379" s="2" t="s">
        <v>28</v>
      </c>
      <c r="E379" s="2" t="s">
        <v>10</v>
      </c>
      <c r="F379" s="4">
        <v>4048.31</v>
      </c>
    </row>
    <row r="380" spans="1:6" ht="15" thickBot="1" x14ac:dyDescent="0.35">
      <c r="A380" s="3" t="s">
        <v>39</v>
      </c>
      <c r="B380" s="2" t="s">
        <v>7</v>
      </c>
      <c r="C380" s="2" t="s">
        <v>34</v>
      </c>
      <c r="D380" s="2" t="s">
        <v>28</v>
      </c>
      <c r="E380" s="2" t="s">
        <v>15</v>
      </c>
      <c r="F380" s="4">
        <v>468.34</v>
      </c>
    </row>
    <row r="381" spans="1:6" ht="15" thickBot="1" x14ac:dyDescent="0.35">
      <c r="A381" s="3" t="s">
        <v>188</v>
      </c>
      <c r="B381" s="2" t="s">
        <v>19</v>
      </c>
      <c r="C381" s="2" t="s">
        <v>13</v>
      </c>
      <c r="D381" s="2" t="s">
        <v>28</v>
      </c>
      <c r="E381" s="2" t="s">
        <v>10</v>
      </c>
      <c r="F381" s="4">
        <v>802.1</v>
      </c>
    </row>
    <row r="382" spans="1:6" ht="15" thickBot="1" x14ac:dyDescent="0.35">
      <c r="A382" s="3" t="s">
        <v>101</v>
      </c>
      <c r="B382" s="2" t="s">
        <v>19</v>
      </c>
      <c r="C382" s="2" t="s">
        <v>34</v>
      </c>
      <c r="D382" s="2" t="s">
        <v>9</v>
      </c>
      <c r="E382" s="2" t="s">
        <v>10</v>
      </c>
      <c r="F382" s="4">
        <v>3548.259994</v>
      </c>
    </row>
    <row r="383" spans="1:6" ht="15" thickBot="1" x14ac:dyDescent="0.35">
      <c r="A383" s="3" t="s">
        <v>142</v>
      </c>
      <c r="B383" s="2" t="s">
        <v>17</v>
      </c>
      <c r="C383" s="2" t="s">
        <v>8</v>
      </c>
      <c r="D383" s="2" t="s">
        <v>14</v>
      </c>
      <c r="E383" s="2" t="s">
        <v>15</v>
      </c>
      <c r="F383" s="4">
        <v>647.30999999999995</v>
      </c>
    </row>
    <row r="384" spans="1:6" ht="15" thickBot="1" x14ac:dyDescent="0.35">
      <c r="A384" s="3" t="s">
        <v>178</v>
      </c>
      <c r="B384" s="2" t="s">
        <v>30</v>
      </c>
      <c r="C384" s="2" t="s">
        <v>34</v>
      </c>
      <c r="D384" s="2" t="s">
        <v>14</v>
      </c>
      <c r="E384" s="2" t="s">
        <v>24</v>
      </c>
      <c r="F384" s="4">
        <v>1024.8599999999999</v>
      </c>
    </row>
    <row r="385" spans="1:6" ht="15" thickBot="1" x14ac:dyDescent="0.35">
      <c r="A385" s="3" t="s">
        <v>172</v>
      </c>
      <c r="B385" s="2" t="s">
        <v>7</v>
      </c>
      <c r="C385" s="2" t="s">
        <v>23</v>
      </c>
      <c r="D385" s="2" t="s">
        <v>14</v>
      </c>
      <c r="E385" s="2" t="s">
        <v>24</v>
      </c>
      <c r="F385" s="4">
        <v>304.14999999999998</v>
      </c>
    </row>
    <row r="386" spans="1:6" ht="15" thickBot="1" x14ac:dyDescent="0.35">
      <c r="A386" s="3" t="s">
        <v>73</v>
      </c>
      <c r="B386" s="2" t="s">
        <v>30</v>
      </c>
      <c r="C386" s="2" t="s">
        <v>23</v>
      </c>
      <c r="D386" s="2" t="s">
        <v>28</v>
      </c>
      <c r="E386" s="2" t="s">
        <v>24</v>
      </c>
      <c r="F386" s="4">
        <v>4794.1899999999996</v>
      </c>
    </row>
    <row r="387" spans="1:6" ht="15" thickBot="1" x14ac:dyDescent="0.35">
      <c r="A387" s="3" t="s">
        <v>72</v>
      </c>
      <c r="B387" s="2" t="s">
        <v>19</v>
      </c>
      <c r="C387" s="2" t="s">
        <v>34</v>
      </c>
      <c r="D387" s="2" t="s">
        <v>28</v>
      </c>
      <c r="E387" s="2" t="s">
        <v>24</v>
      </c>
      <c r="F387" s="4">
        <v>2331.7399999999998</v>
      </c>
    </row>
    <row r="388" spans="1:6" ht="15" thickBot="1" x14ac:dyDescent="0.35">
      <c r="A388" s="3" t="s">
        <v>136</v>
      </c>
      <c r="B388" s="2" t="s">
        <v>17</v>
      </c>
      <c r="C388" s="2" t="s">
        <v>13</v>
      </c>
      <c r="D388" s="2" t="s">
        <v>28</v>
      </c>
      <c r="E388" s="2" t="s">
        <v>10</v>
      </c>
      <c r="F388" s="4">
        <v>4183.93</v>
      </c>
    </row>
    <row r="389" spans="1:6" ht="15" thickBot="1" x14ac:dyDescent="0.35">
      <c r="A389" s="3" t="s">
        <v>22</v>
      </c>
      <c r="B389" s="2" t="s">
        <v>12</v>
      </c>
      <c r="C389" s="2" t="s">
        <v>13</v>
      </c>
      <c r="D389" s="2" t="s">
        <v>14</v>
      </c>
      <c r="E389" s="2" t="s">
        <v>15</v>
      </c>
      <c r="F389" s="4">
        <v>1515.76</v>
      </c>
    </row>
    <row r="390" spans="1:6" ht="15" thickBot="1" x14ac:dyDescent="0.35">
      <c r="A390" s="3" t="s">
        <v>189</v>
      </c>
      <c r="B390" s="2" t="s">
        <v>19</v>
      </c>
      <c r="C390" s="2" t="s">
        <v>23</v>
      </c>
      <c r="D390" s="2" t="s">
        <v>9</v>
      </c>
      <c r="E390" s="2" t="s">
        <v>10</v>
      </c>
      <c r="F390" s="4">
        <v>4299.7299999999996</v>
      </c>
    </row>
    <row r="391" spans="1:6" ht="15" thickBot="1" x14ac:dyDescent="0.35">
      <c r="A391" s="3" t="s">
        <v>89</v>
      </c>
      <c r="B391" s="2" t="s">
        <v>17</v>
      </c>
      <c r="C391" s="2" t="s">
        <v>13</v>
      </c>
      <c r="D391" s="2" t="s">
        <v>28</v>
      </c>
      <c r="E391" s="2" t="s">
        <v>24</v>
      </c>
      <c r="F391" s="4">
        <v>303.22000000000003</v>
      </c>
    </row>
    <row r="392" spans="1:6" ht="15" thickBot="1" x14ac:dyDescent="0.35">
      <c r="A392" s="3" t="s">
        <v>121</v>
      </c>
      <c r="B392" s="2" t="s">
        <v>30</v>
      </c>
      <c r="C392" s="2" t="s">
        <v>8</v>
      </c>
      <c r="D392" s="2" t="s">
        <v>14</v>
      </c>
      <c r="E392" s="2" t="s">
        <v>10</v>
      </c>
      <c r="F392" s="4">
        <v>2427.3000000000002</v>
      </c>
    </row>
    <row r="393" spans="1:6" ht="15" thickBot="1" x14ac:dyDescent="0.35">
      <c r="A393" s="3" t="s">
        <v>190</v>
      </c>
      <c r="B393" s="2" t="s">
        <v>17</v>
      </c>
      <c r="C393" s="2" t="s">
        <v>13</v>
      </c>
      <c r="D393" s="2" t="s">
        <v>14</v>
      </c>
      <c r="E393" s="2" t="s">
        <v>15</v>
      </c>
      <c r="F393" s="4">
        <v>3481.31</v>
      </c>
    </row>
    <row r="394" spans="1:6" ht="15" thickBot="1" x14ac:dyDescent="0.35">
      <c r="A394" s="3" t="s">
        <v>96</v>
      </c>
      <c r="B394" s="2" t="s">
        <v>19</v>
      </c>
      <c r="C394" s="2" t="s">
        <v>23</v>
      </c>
      <c r="D394" s="2" t="s">
        <v>28</v>
      </c>
      <c r="E394" s="2" t="s">
        <v>10</v>
      </c>
      <c r="F394" s="4">
        <v>2451.0100000000002</v>
      </c>
    </row>
    <row r="395" spans="1:6" ht="15" thickBot="1" x14ac:dyDescent="0.35">
      <c r="A395" s="3" t="s">
        <v>50</v>
      </c>
      <c r="B395" s="2" t="s">
        <v>19</v>
      </c>
      <c r="C395" s="2" t="s">
        <v>8</v>
      </c>
      <c r="D395" s="2" t="s">
        <v>9</v>
      </c>
      <c r="E395" s="2" t="s">
        <v>10</v>
      </c>
      <c r="F395" s="4">
        <v>2726.5885549999998</v>
      </c>
    </row>
    <row r="396" spans="1:6" ht="15" thickBot="1" x14ac:dyDescent="0.35">
      <c r="A396" s="3" t="s">
        <v>171</v>
      </c>
      <c r="B396" s="2" t="s">
        <v>17</v>
      </c>
      <c r="C396" s="2" t="s">
        <v>13</v>
      </c>
      <c r="D396" s="2" t="s">
        <v>28</v>
      </c>
      <c r="E396" s="2" t="s">
        <v>24</v>
      </c>
      <c r="F396" s="4">
        <v>4059.4</v>
      </c>
    </row>
    <row r="397" spans="1:6" ht="15" thickBot="1" x14ac:dyDescent="0.35">
      <c r="A397" s="3" t="s">
        <v>152</v>
      </c>
      <c r="B397" s="2" t="s">
        <v>30</v>
      </c>
      <c r="C397" s="2" t="s">
        <v>34</v>
      </c>
      <c r="D397" s="2" t="s">
        <v>28</v>
      </c>
      <c r="E397" s="2" t="s">
        <v>10</v>
      </c>
      <c r="F397" s="4">
        <v>3874.1</v>
      </c>
    </row>
    <row r="398" spans="1:6" ht="15" thickBot="1" x14ac:dyDescent="0.35">
      <c r="A398" s="3" t="s">
        <v>146</v>
      </c>
      <c r="B398" s="2" t="s">
        <v>7</v>
      </c>
      <c r="C398" s="2" t="s">
        <v>34</v>
      </c>
      <c r="D398" s="2" t="s">
        <v>14</v>
      </c>
      <c r="E398" s="2" t="s">
        <v>10</v>
      </c>
      <c r="F398" s="4">
        <v>870.3</v>
      </c>
    </row>
    <row r="399" spans="1:6" ht="15" thickBot="1" x14ac:dyDescent="0.35">
      <c r="A399" s="3" t="s">
        <v>171</v>
      </c>
      <c r="B399" s="2" t="s">
        <v>17</v>
      </c>
      <c r="C399" s="2" t="s">
        <v>8</v>
      </c>
      <c r="D399" s="2" t="s">
        <v>28</v>
      </c>
      <c r="E399" s="2" t="s">
        <v>24</v>
      </c>
      <c r="F399" s="4">
        <v>1471.82</v>
      </c>
    </row>
    <row r="400" spans="1:6" ht="15" thickBot="1" x14ac:dyDescent="0.35">
      <c r="A400" s="3" t="s">
        <v>191</v>
      </c>
      <c r="B400" s="2" t="s">
        <v>12</v>
      </c>
      <c r="C400" s="2" t="s">
        <v>8</v>
      </c>
      <c r="D400" s="2" t="s">
        <v>9</v>
      </c>
      <c r="E400" s="2" t="s">
        <v>10</v>
      </c>
      <c r="F400" s="4">
        <v>3436.0007540000001</v>
      </c>
    </row>
    <row r="401" spans="1:6" ht="15" thickBot="1" x14ac:dyDescent="0.35">
      <c r="A401" s="3" t="s">
        <v>124</v>
      </c>
      <c r="B401" s="2" t="s">
        <v>12</v>
      </c>
      <c r="C401" s="2" t="s">
        <v>13</v>
      </c>
      <c r="D401" s="2" t="s">
        <v>9</v>
      </c>
      <c r="E401" s="2" t="s">
        <v>24</v>
      </c>
      <c r="F401" s="4">
        <v>479.22266450000001</v>
      </c>
    </row>
    <row r="402" spans="1:6" ht="15" thickBot="1" x14ac:dyDescent="0.35">
      <c r="A402" s="3" t="s">
        <v>183</v>
      </c>
      <c r="B402" s="2" t="s">
        <v>7</v>
      </c>
      <c r="C402" s="2" t="s">
        <v>23</v>
      </c>
      <c r="D402" s="2" t="s">
        <v>14</v>
      </c>
      <c r="E402" s="2" t="s">
        <v>15</v>
      </c>
      <c r="F402" s="4">
        <v>2840.69</v>
      </c>
    </row>
    <row r="403" spans="1:6" ht="15" thickBot="1" x14ac:dyDescent="0.35">
      <c r="A403" s="3" t="s">
        <v>71</v>
      </c>
      <c r="B403" s="2" t="s">
        <v>7</v>
      </c>
      <c r="C403" s="2" t="s">
        <v>13</v>
      </c>
      <c r="D403" s="2" t="s">
        <v>28</v>
      </c>
      <c r="E403" s="2" t="s">
        <v>15</v>
      </c>
      <c r="F403" s="4">
        <v>1808.08</v>
      </c>
    </row>
    <row r="404" spans="1:6" ht="15" thickBot="1" x14ac:dyDescent="0.35">
      <c r="A404" s="3" t="s">
        <v>128</v>
      </c>
      <c r="B404" s="2" t="s">
        <v>12</v>
      </c>
      <c r="C404" s="2" t="s">
        <v>34</v>
      </c>
      <c r="D404" s="2" t="s">
        <v>28</v>
      </c>
      <c r="E404" s="2" t="s">
        <v>24</v>
      </c>
      <c r="F404" s="4">
        <v>425.7</v>
      </c>
    </row>
    <row r="405" spans="1:6" ht="15" thickBot="1" x14ac:dyDescent="0.35">
      <c r="A405" s="3" t="s">
        <v>118</v>
      </c>
      <c r="B405" s="2" t="s">
        <v>30</v>
      </c>
      <c r="C405" s="2" t="s">
        <v>34</v>
      </c>
      <c r="D405" s="2" t="s">
        <v>14</v>
      </c>
      <c r="E405" s="2" t="s">
        <v>10</v>
      </c>
      <c r="F405" s="4">
        <v>981.92</v>
      </c>
    </row>
    <row r="406" spans="1:6" ht="15" thickBot="1" x14ac:dyDescent="0.35">
      <c r="A406" s="3" t="s">
        <v>37</v>
      </c>
      <c r="B406" s="2" t="s">
        <v>17</v>
      </c>
      <c r="C406" s="2" t="s">
        <v>8</v>
      </c>
      <c r="D406" s="2" t="s">
        <v>9</v>
      </c>
      <c r="E406" s="2" t="s">
        <v>15</v>
      </c>
      <c r="F406" s="4">
        <v>1089.2861559999999</v>
      </c>
    </row>
    <row r="407" spans="1:6" ht="15" thickBot="1" x14ac:dyDescent="0.35">
      <c r="A407" s="3" t="s">
        <v>192</v>
      </c>
      <c r="B407" s="2" t="s">
        <v>19</v>
      </c>
      <c r="C407" s="2" t="s">
        <v>34</v>
      </c>
      <c r="D407" s="2" t="s">
        <v>9</v>
      </c>
      <c r="E407" s="2" t="s">
        <v>24</v>
      </c>
      <c r="F407" s="4">
        <v>4336.6087239999997</v>
      </c>
    </row>
    <row r="408" spans="1:6" ht="15" thickBot="1" x14ac:dyDescent="0.35">
      <c r="A408" s="3" t="s">
        <v>58</v>
      </c>
      <c r="B408" s="2" t="s">
        <v>17</v>
      </c>
      <c r="C408" s="2" t="s">
        <v>23</v>
      </c>
      <c r="D408" s="2" t="s">
        <v>9</v>
      </c>
      <c r="E408" s="2" t="s">
        <v>15</v>
      </c>
      <c r="F408" s="4">
        <v>1820.9864809999999</v>
      </c>
    </row>
    <row r="409" spans="1:6" ht="15" thickBot="1" x14ac:dyDescent="0.35">
      <c r="A409" s="3" t="s">
        <v>80</v>
      </c>
      <c r="B409" s="2" t="s">
        <v>17</v>
      </c>
      <c r="C409" s="2" t="s">
        <v>13</v>
      </c>
      <c r="D409" s="2" t="s">
        <v>14</v>
      </c>
      <c r="E409" s="2" t="s">
        <v>15</v>
      </c>
      <c r="F409" s="4">
        <v>2772.88</v>
      </c>
    </row>
    <row r="410" spans="1:6" ht="15" thickBot="1" x14ac:dyDescent="0.35">
      <c r="A410" s="3" t="s">
        <v>75</v>
      </c>
      <c r="B410" s="2" t="s">
        <v>19</v>
      </c>
      <c r="C410" s="2" t="s">
        <v>13</v>
      </c>
      <c r="D410" s="2" t="s">
        <v>14</v>
      </c>
      <c r="E410" s="2" t="s">
        <v>24</v>
      </c>
      <c r="F410" s="4">
        <v>4985.09</v>
      </c>
    </row>
    <row r="411" spans="1:6" ht="15" thickBot="1" x14ac:dyDescent="0.35">
      <c r="A411" s="3" t="s">
        <v>188</v>
      </c>
      <c r="B411" s="2" t="s">
        <v>19</v>
      </c>
      <c r="C411" s="2" t="s">
        <v>23</v>
      </c>
      <c r="D411" s="2" t="s">
        <v>9</v>
      </c>
      <c r="E411" s="2" t="s">
        <v>10</v>
      </c>
      <c r="F411" s="4">
        <v>4859.13</v>
      </c>
    </row>
    <row r="412" spans="1:6" ht="15" thickBot="1" x14ac:dyDescent="0.35">
      <c r="A412" s="3" t="s">
        <v>39</v>
      </c>
      <c r="B412" s="2" t="s">
        <v>7</v>
      </c>
      <c r="C412" s="2" t="s">
        <v>34</v>
      </c>
      <c r="D412" s="2" t="s">
        <v>28</v>
      </c>
      <c r="E412" s="2" t="s">
        <v>15</v>
      </c>
      <c r="F412" s="4">
        <v>3855.03</v>
      </c>
    </row>
    <row r="413" spans="1:6" ht="15" thickBot="1" x14ac:dyDescent="0.35">
      <c r="A413" s="3" t="s">
        <v>111</v>
      </c>
      <c r="B413" s="2" t="s">
        <v>19</v>
      </c>
      <c r="C413" s="2" t="s">
        <v>8</v>
      </c>
      <c r="D413" s="2" t="s">
        <v>9</v>
      </c>
      <c r="E413" s="2" t="s">
        <v>24</v>
      </c>
      <c r="F413" s="4">
        <v>1087.933657</v>
      </c>
    </row>
    <row r="414" spans="1:6" ht="15" thickBot="1" x14ac:dyDescent="0.35">
      <c r="A414" s="3" t="s">
        <v>26</v>
      </c>
      <c r="B414" s="2" t="s">
        <v>17</v>
      </c>
      <c r="C414" s="2" t="s">
        <v>8</v>
      </c>
      <c r="D414" s="2" t="s">
        <v>14</v>
      </c>
      <c r="E414" s="2" t="s">
        <v>10</v>
      </c>
      <c r="F414" s="4">
        <v>3311.86</v>
      </c>
    </row>
    <row r="415" spans="1:6" ht="15" thickBot="1" x14ac:dyDescent="0.35">
      <c r="A415" s="3" t="s">
        <v>188</v>
      </c>
      <c r="B415" s="2" t="s">
        <v>19</v>
      </c>
      <c r="C415" s="2" t="s">
        <v>8</v>
      </c>
      <c r="D415" s="2" t="s">
        <v>9</v>
      </c>
      <c r="E415" s="2" t="s">
        <v>24</v>
      </c>
      <c r="F415" s="4">
        <v>3496.49</v>
      </c>
    </row>
    <row r="416" spans="1:6" ht="15" thickBot="1" x14ac:dyDescent="0.35">
      <c r="A416" s="3" t="s">
        <v>105</v>
      </c>
      <c r="B416" s="2" t="s">
        <v>30</v>
      </c>
      <c r="C416" s="2" t="s">
        <v>34</v>
      </c>
      <c r="D416" s="2" t="s">
        <v>28</v>
      </c>
      <c r="E416" s="2" t="s">
        <v>10</v>
      </c>
      <c r="F416" s="4">
        <v>3355.28</v>
      </c>
    </row>
    <row r="417" spans="1:6" ht="15" thickBot="1" x14ac:dyDescent="0.35">
      <c r="A417" s="3" t="s">
        <v>122</v>
      </c>
      <c r="B417" s="2" t="s">
        <v>19</v>
      </c>
      <c r="C417" s="2" t="s">
        <v>8</v>
      </c>
      <c r="D417" s="2" t="s">
        <v>9</v>
      </c>
      <c r="E417" s="2" t="s">
        <v>10</v>
      </c>
      <c r="F417" s="4">
        <v>4871.4203090000001</v>
      </c>
    </row>
    <row r="418" spans="1:6" ht="15" thickBot="1" x14ac:dyDescent="0.35">
      <c r="A418" s="3" t="s">
        <v>49</v>
      </c>
      <c r="B418" s="2" t="s">
        <v>19</v>
      </c>
      <c r="C418" s="2" t="s">
        <v>13</v>
      </c>
      <c r="D418" s="2" t="s">
        <v>9</v>
      </c>
      <c r="E418" s="2" t="s">
        <v>10</v>
      </c>
      <c r="F418" s="4">
        <v>1245.54</v>
      </c>
    </row>
    <row r="419" spans="1:6" ht="15" thickBot="1" x14ac:dyDescent="0.35">
      <c r="A419" s="3" t="s">
        <v>123</v>
      </c>
      <c r="B419" s="2" t="s">
        <v>30</v>
      </c>
      <c r="C419" s="2" t="s">
        <v>34</v>
      </c>
      <c r="D419" s="2" t="s">
        <v>14</v>
      </c>
      <c r="E419" s="2" t="s">
        <v>15</v>
      </c>
      <c r="F419" s="4">
        <v>2891.84</v>
      </c>
    </row>
    <row r="420" spans="1:6" ht="15" thickBot="1" x14ac:dyDescent="0.35">
      <c r="A420" s="3" t="s">
        <v>54</v>
      </c>
      <c r="B420" s="2" t="s">
        <v>12</v>
      </c>
      <c r="C420" s="2" t="s">
        <v>8</v>
      </c>
      <c r="D420" s="2" t="s">
        <v>14</v>
      </c>
      <c r="E420" s="2" t="s">
        <v>10</v>
      </c>
      <c r="F420" s="4">
        <v>2482.64</v>
      </c>
    </row>
    <row r="421" spans="1:6" ht="15" thickBot="1" x14ac:dyDescent="0.35">
      <c r="A421" s="3" t="s">
        <v>162</v>
      </c>
      <c r="B421" s="2" t="s">
        <v>30</v>
      </c>
      <c r="C421" s="2" t="s">
        <v>23</v>
      </c>
      <c r="D421" s="2" t="s">
        <v>9</v>
      </c>
      <c r="E421" s="2" t="s">
        <v>10</v>
      </c>
      <c r="F421" s="4">
        <v>3463.8851949999998</v>
      </c>
    </row>
    <row r="422" spans="1:6" ht="15" thickBot="1" x14ac:dyDescent="0.35">
      <c r="A422" s="3" t="s">
        <v>193</v>
      </c>
      <c r="B422" s="2" t="s">
        <v>12</v>
      </c>
      <c r="C422" s="2" t="s">
        <v>8</v>
      </c>
      <c r="D422" s="2" t="s">
        <v>9</v>
      </c>
      <c r="E422" s="2" t="s">
        <v>24</v>
      </c>
      <c r="F422" s="4">
        <v>2901.3369090000001</v>
      </c>
    </row>
    <row r="423" spans="1:6" ht="15" thickBot="1" x14ac:dyDescent="0.35">
      <c r="A423" s="3" t="s">
        <v>194</v>
      </c>
      <c r="B423" s="2" t="s">
        <v>17</v>
      </c>
      <c r="C423" s="2" t="s">
        <v>34</v>
      </c>
      <c r="D423" s="2" t="s">
        <v>14</v>
      </c>
      <c r="E423" s="2" t="s">
        <v>15</v>
      </c>
      <c r="F423" s="4">
        <v>1323.76</v>
      </c>
    </row>
    <row r="424" spans="1:6" ht="15" thickBot="1" x14ac:dyDescent="0.35">
      <c r="A424" s="3" t="s">
        <v>190</v>
      </c>
      <c r="B424" s="2" t="s">
        <v>17</v>
      </c>
      <c r="C424" s="2" t="s">
        <v>8</v>
      </c>
      <c r="D424" s="2" t="s">
        <v>9</v>
      </c>
      <c r="E424" s="2" t="s">
        <v>24</v>
      </c>
      <c r="F424" s="4">
        <v>2332.1231010000001</v>
      </c>
    </row>
    <row r="425" spans="1:6" ht="15" thickBot="1" x14ac:dyDescent="0.35">
      <c r="A425" s="3" t="s">
        <v>141</v>
      </c>
      <c r="B425" s="2" t="s">
        <v>7</v>
      </c>
      <c r="C425" s="2" t="s">
        <v>8</v>
      </c>
      <c r="D425" s="2" t="s">
        <v>28</v>
      </c>
      <c r="E425" s="2" t="s">
        <v>24</v>
      </c>
      <c r="F425" s="4">
        <v>462.78</v>
      </c>
    </row>
    <row r="426" spans="1:6" ht="15" thickBot="1" x14ac:dyDescent="0.35">
      <c r="A426" s="3" t="s">
        <v>193</v>
      </c>
      <c r="B426" s="2" t="s">
        <v>12</v>
      </c>
      <c r="C426" s="2" t="s">
        <v>23</v>
      </c>
      <c r="D426" s="2" t="s">
        <v>14</v>
      </c>
      <c r="E426" s="2" t="s">
        <v>15</v>
      </c>
      <c r="F426" s="4">
        <v>1229.33</v>
      </c>
    </row>
    <row r="427" spans="1:6" ht="15" thickBot="1" x14ac:dyDescent="0.35">
      <c r="A427" s="3" t="s">
        <v>92</v>
      </c>
      <c r="B427" s="2" t="s">
        <v>30</v>
      </c>
      <c r="C427" s="2" t="s">
        <v>13</v>
      </c>
      <c r="D427" s="2" t="s">
        <v>14</v>
      </c>
      <c r="E427" s="2" t="s">
        <v>15</v>
      </c>
      <c r="F427" s="4">
        <v>3457.79</v>
      </c>
    </row>
    <row r="428" spans="1:6" ht="15" thickBot="1" x14ac:dyDescent="0.35">
      <c r="A428" s="3" t="s">
        <v>89</v>
      </c>
      <c r="B428" s="2" t="s">
        <v>17</v>
      </c>
      <c r="C428" s="2" t="s">
        <v>8</v>
      </c>
      <c r="D428" s="2" t="s">
        <v>14</v>
      </c>
      <c r="E428" s="2" t="s">
        <v>15</v>
      </c>
      <c r="F428" s="4">
        <v>3519.41</v>
      </c>
    </row>
    <row r="429" spans="1:6" ht="15" thickBot="1" x14ac:dyDescent="0.35">
      <c r="A429" s="3" t="s">
        <v>171</v>
      </c>
      <c r="B429" s="2" t="s">
        <v>17</v>
      </c>
      <c r="C429" s="2" t="s">
        <v>8</v>
      </c>
      <c r="D429" s="2" t="s">
        <v>28</v>
      </c>
      <c r="E429" s="2" t="s">
        <v>24</v>
      </c>
      <c r="F429" s="4">
        <v>2913.47</v>
      </c>
    </row>
    <row r="430" spans="1:6" ht="15" thickBot="1" x14ac:dyDescent="0.35">
      <c r="A430" s="3" t="s">
        <v>195</v>
      </c>
      <c r="B430" s="2" t="s">
        <v>7</v>
      </c>
      <c r="C430" s="2" t="s">
        <v>34</v>
      </c>
      <c r="D430" s="2" t="s">
        <v>28</v>
      </c>
      <c r="E430" s="2" t="s">
        <v>15</v>
      </c>
      <c r="F430" s="4">
        <v>1431.51</v>
      </c>
    </row>
    <row r="431" spans="1:6" ht="15" thickBot="1" x14ac:dyDescent="0.35">
      <c r="A431" s="3" t="s">
        <v>85</v>
      </c>
      <c r="B431" s="2" t="s">
        <v>30</v>
      </c>
      <c r="C431" s="2" t="s">
        <v>34</v>
      </c>
      <c r="D431" s="2" t="s">
        <v>28</v>
      </c>
      <c r="E431" s="2" t="s">
        <v>24</v>
      </c>
      <c r="F431" s="4">
        <v>2346.0500000000002</v>
      </c>
    </row>
    <row r="432" spans="1:6" ht="15" thickBot="1" x14ac:dyDescent="0.35">
      <c r="A432" s="3" t="s">
        <v>122</v>
      </c>
      <c r="B432" s="2" t="s">
        <v>19</v>
      </c>
      <c r="C432" s="2" t="s">
        <v>8</v>
      </c>
      <c r="D432" s="2" t="s">
        <v>28</v>
      </c>
      <c r="E432" s="2" t="s">
        <v>15</v>
      </c>
      <c r="F432" s="4">
        <v>4191.3599999999997</v>
      </c>
    </row>
    <row r="433" spans="1:6" ht="15" thickBot="1" x14ac:dyDescent="0.35">
      <c r="A433" s="3" t="s">
        <v>87</v>
      </c>
      <c r="B433" s="2" t="s">
        <v>12</v>
      </c>
      <c r="C433" s="2" t="s">
        <v>34</v>
      </c>
      <c r="D433" s="2" t="s">
        <v>9</v>
      </c>
      <c r="E433" s="2" t="s">
        <v>15</v>
      </c>
      <c r="F433" s="4">
        <v>2422.4672390000001</v>
      </c>
    </row>
    <row r="434" spans="1:6" ht="15" thickBot="1" x14ac:dyDescent="0.35">
      <c r="A434" s="3" t="s">
        <v>76</v>
      </c>
      <c r="B434" s="2" t="s">
        <v>17</v>
      </c>
      <c r="C434" s="2" t="s">
        <v>13</v>
      </c>
      <c r="D434" s="2" t="s">
        <v>9</v>
      </c>
      <c r="E434" s="2" t="s">
        <v>10</v>
      </c>
      <c r="F434" s="4">
        <v>3331.6588299999999</v>
      </c>
    </row>
    <row r="435" spans="1:6" ht="15" thickBot="1" x14ac:dyDescent="0.35">
      <c r="A435" s="3" t="s">
        <v>164</v>
      </c>
      <c r="B435" s="2" t="s">
        <v>19</v>
      </c>
      <c r="C435" s="2" t="s">
        <v>34</v>
      </c>
      <c r="D435" s="2" t="s">
        <v>14</v>
      </c>
      <c r="E435" s="2" t="s">
        <v>15</v>
      </c>
      <c r="F435" s="4">
        <v>1833.49</v>
      </c>
    </row>
    <row r="436" spans="1:6" ht="15" thickBot="1" x14ac:dyDescent="0.35">
      <c r="A436" s="3" t="s">
        <v>137</v>
      </c>
      <c r="B436" s="2" t="s">
        <v>17</v>
      </c>
      <c r="C436" s="2" t="s">
        <v>23</v>
      </c>
      <c r="D436" s="2" t="s">
        <v>14</v>
      </c>
      <c r="E436" s="2" t="s">
        <v>10</v>
      </c>
      <c r="F436" s="4">
        <v>4018.22</v>
      </c>
    </row>
    <row r="437" spans="1:6" ht="15" thickBot="1" x14ac:dyDescent="0.35">
      <c r="A437" s="3" t="s">
        <v>140</v>
      </c>
      <c r="B437" s="2" t="s">
        <v>17</v>
      </c>
      <c r="C437" s="2" t="s">
        <v>23</v>
      </c>
      <c r="D437" s="2" t="s">
        <v>9</v>
      </c>
      <c r="E437" s="2" t="s">
        <v>10</v>
      </c>
      <c r="F437" s="4">
        <v>2681.922975</v>
      </c>
    </row>
    <row r="438" spans="1:6" ht="15" thickBot="1" x14ac:dyDescent="0.35">
      <c r="A438" s="3" t="s">
        <v>89</v>
      </c>
      <c r="B438" s="2" t="s">
        <v>17</v>
      </c>
      <c r="C438" s="2" t="s">
        <v>13</v>
      </c>
      <c r="D438" s="2" t="s">
        <v>9</v>
      </c>
      <c r="E438" s="2" t="s">
        <v>24</v>
      </c>
      <c r="F438" s="4">
        <v>1889.493285</v>
      </c>
    </row>
    <row r="439" spans="1:6" ht="15" thickBot="1" x14ac:dyDescent="0.35">
      <c r="A439" s="3" t="s">
        <v>196</v>
      </c>
      <c r="B439" s="2" t="s">
        <v>30</v>
      </c>
      <c r="C439" s="2" t="s">
        <v>34</v>
      </c>
      <c r="D439" s="2" t="s">
        <v>14</v>
      </c>
      <c r="E439" s="2" t="s">
        <v>10</v>
      </c>
      <c r="F439" s="4">
        <v>1407.92</v>
      </c>
    </row>
    <row r="440" spans="1:6" ht="15" thickBot="1" x14ac:dyDescent="0.35">
      <c r="A440" s="3" t="s">
        <v>99</v>
      </c>
      <c r="B440" s="2" t="s">
        <v>19</v>
      </c>
      <c r="C440" s="2" t="s">
        <v>34</v>
      </c>
      <c r="D440" s="2" t="s">
        <v>14</v>
      </c>
      <c r="E440" s="2" t="s">
        <v>15</v>
      </c>
      <c r="F440" s="4">
        <v>4935.72</v>
      </c>
    </row>
    <row r="441" spans="1:6" ht="15" thickBot="1" x14ac:dyDescent="0.35">
      <c r="A441" s="3" t="s">
        <v>59</v>
      </c>
      <c r="B441" s="2" t="s">
        <v>17</v>
      </c>
      <c r="C441" s="2" t="s">
        <v>8</v>
      </c>
      <c r="D441" s="2" t="s">
        <v>9</v>
      </c>
      <c r="E441" s="2" t="s">
        <v>15</v>
      </c>
      <c r="F441" s="4">
        <v>2103.19</v>
      </c>
    </row>
    <row r="442" spans="1:6" ht="15" thickBot="1" x14ac:dyDescent="0.35">
      <c r="A442" s="3" t="s">
        <v>148</v>
      </c>
      <c r="B442" s="2" t="s">
        <v>17</v>
      </c>
      <c r="C442" s="2" t="s">
        <v>23</v>
      </c>
      <c r="D442" s="2" t="s">
        <v>28</v>
      </c>
      <c r="E442" s="2" t="s">
        <v>10</v>
      </c>
      <c r="F442" s="4">
        <v>2046.76</v>
      </c>
    </row>
    <row r="443" spans="1:6" ht="15" thickBot="1" x14ac:dyDescent="0.35">
      <c r="A443" s="3" t="s">
        <v>85</v>
      </c>
      <c r="B443" s="2" t="s">
        <v>30</v>
      </c>
      <c r="C443" s="2" t="s">
        <v>8</v>
      </c>
      <c r="D443" s="2" t="s">
        <v>14</v>
      </c>
      <c r="E443" s="2" t="s">
        <v>24</v>
      </c>
      <c r="F443" s="4">
        <v>3397.43</v>
      </c>
    </row>
    <row r="444" spans="1:6" ht="15" thickBot="1" x14ac:dyDescent="0.35">
      <c r="A444" s="3" t="s">
        <v>195</v>
      </c>
      <c r="B444" s="2" t="s">
        <v>7</v>
      </c>
      <c r="C444" s="2" t="s">
        <v>13</v>
      </c>
      <c r="D444" s="2" t="s">
        <v>9</v>
      </c>
      <c r="E444" s="2" t="s">
        <v>10</v>
      </c>
      <c r="F444" s="4">
        <v>3221.574627</v>
      </c>
    </row>
    <row r="445" spans="1:6" ht="15" thickBot="1" x14ac:dyDescent="0.35">
      <c r="A445" s="3" t="s">
        <v>121</v>
      </c>
      <c r="B445" s="2" t="s">
        <v>30</v>
      </c>
      <c r="C445" s="2" t="s">
        <v>13</v>
      </c>
      <c r="D445" s="2" t="s">
        <v>9</v>
      </c>
      <c r="E445" s="2" t="s">
        <v>15</v>
      </c>
      <c r="F445" s="4">
        <v>4882.4680390000003</v>
      </c>
    </row>
    <row r="446" spans="1:6" ht="15" thickBot="1" x14ac:dyDescent="0.35">
      <c r="A446" s="3" t="s">
        <v>197</v>
      </c>
      <c r="B446" s="2" t="s">
        <v>30</v>
      </c>
      <c r="C446" s="2" t="s">
        <v>13</v>
      </c>
      <c r="D446" s="2" t="s">
        <v>28</v>
      </c>
      <c r="E446" s="2" t="s">
        <v>24</v>
      </c>
      <c r="F446" s="4">
        <v>2857.09</v>
      </c>
    </row>
    <row r="447" spans="1:6" ht="15" thickBot="1" x14ac:dyDescent="0.35">
      <c r="A447" s="3" t="s">
        <v>143</v>
      </c>
      <c r="B447" s="2" t="s">
        <v>17</v>
      </c>
      <c r="C447" s="2" t="s">
        <v>8</v>
      </c>
      <c r="D447" s="2" t="s">
        <v>14</v>
      </c>
      <c r="E447" s="2" t="s">
        <v>24</v>
      </c>
      <c r="F447" s="4">
        <v>1140.1600000000001</v>
      </c>
    </row>
    <row r="448" spans="1:6" ht="15" thickBot="1" x14ac:dyDescent="0.35">
      <c r="A448" s="3" t="s">
        <v>52</v>
      </c>
      <c r="B448" s="2" t="s">
        <v>19</v>
      </c>
      <c r="C448" s="2" t="s">
        <v>34</v>
      </c>
      <c r="D448" s="2" t="s">
        <v>9</v>
      </c>
      <c r="E448" s="2" t="s">
        <v>24</v>
      </c>
      <c r="F448" s="4">
        <v>2822.9423630000001</v>
      </c>
    </row>
    <row r="449" spans="1:6" ht="15" thickBot="1" x14ac:dyDescent="0.35">
      <c r="A449" s="3" t="s">
        <v>129</v>
      </c>
      <c r="B449" s="2" t="s">
        <v>17</v>
      </c>
      <c r="C449" s="2" t="s">
        <v>23</v>
      </c>
      <c r="D449" s="2" t="s">
        <v>28</v>
      </c>
      <c r="E449" s="2" t="s">
        <v>15</v>
      </c>
      <c r="F449" s="4">
        <v>727.78</v>
      </c>
    </row>
    <row r="450" spans="1:6" ht="15" thickBot="1" x14ac:dyDescent="0.35">
      <c r="A450" s="3" t="s">
        <v>183</v>
      </c>
      <c r="B450" s="2" t="s">
        <v>7</v>
      </c>
      <c r="C450" s="2" t="s">
        <v>8</v>
      </c>
      <c r="D450" s="2" t="s">
        <v>9</v>
      </c>
      <c r="E450" s="2" t="s">
        <v>10</v>
      </c>
      <c r="F450" s="4">
        <v>367.90000450000002</v>
      </c>
    </row>
    <row r="451" spans="1:6" ht="15" thickBot="1" x14ac:dyDescent="0.35">
      <c r="A451" s="3" t="s">
        <v>198</v>
      </c>
      <c r="B451" s="2" t="s">
        <v>12</v>
      </c>
      <c r="C451" s="2" t="s">
        <v>34</v>
      </c>
      <c r="D451" s="2" t="s">
        <v>14</v>
      </c>
      <c r="E451" s="2" t="s">
        <v>10</v>
      </c>
      <c r="F451" s="4">
        <v>2303.56</v>
      </c>
    </row>
    <row r="452" spans="1:6" ht="15" thickBot="1" x14ac:dyDescent="0.35">
      <c r="A452" s="3" t="s">
        <v>147</v>
      </c>
      <c r="B452" s="2" t="s">
        <v>17</v>
      </c>
      <c r="C452" s="2" t="s">
        <v>34</v>
      </c>
      <c r="D452" s="2" t="s">
        <v>14</v>
      </c>
      <c r="E452" s="2" t="s">
        <v>15</v>
      </c>
      <c r="F452" s="4">
        <v>1650.12</v>
      </c>
    </row>
    <row r="453" spans="1:6" ht="15" thickBot="1" x14ac:dyDescent="0.35">
      <c r="A453" s="3" t="s">
        <v>134</v>
      </c>
      <c r="B453" s="2" t="s">
        <v>7</v>
      </c>
      <c r="C453" s="2" t="s">
        <v>8</v>
      </c>
      <c r="D453" s="2" t="s">
        <v>9</v>
      </c>
      <c r="E453" s="2" t="s">
        <v>15</v>
      </c>
      <c r="F453" s="4">
        <v>4564.4035119999999</v>
      </c>
    </row>
    <row r="454" spans="1:6" ht="15" thickBot="1" x14ac:dyDescent="0.35">
      <c r="A454" s="3" t="s">
        <v>124</v>
      </c>
      <c r="B454" s="2" t="s">
        <v>12</v>
      </c>
      <c r="C454" s="2" t="s">
        <v>8</v>
      </c>
      <c r="D454" s="2" t="s">
        <v>14</v>
      </c>
      <c r="E454" s="2" t="s">
        <v>24</v>
      </c>
      <c r="F454" s="4">
        <v>3466.51</v>
      </c>
    </row>
    <row r="455" spans="1:6" ht="15" thickBot="1" x14ac:dyDescent="0.35">
      <c r="A455" s="3" t="s">
        <v>172</v>
      </c>
      <c r="B455" s="2" t="s">
        <v>7</v>
      </c>
      <c r="C455" s="2" t="s">
        <v>13</v>
      </c>
      <c r="D455" s="2" t="s">
        <v>14</v>
      </c>
      <c r="E455" s="2" t="s">
        <v>15</v>
      </c>
      <c r="F455" s="4">
        <v>4237.8100000000004</v>
      </c>
    </row>
    <row r="456" spans="1:6" ht="15" thickBot="1" x14ac:dyDescent="0.35">
      <c r="A456" s="3" t="s">
        <v>36</v>
      </c>
      <c r="B456" s="2" t="s">
        <v>12</v>
      </c>
      <c r="C456" s="2" t="s">
        <v>23</v>
      </c>
      <c r="D456" s="2" t="s">
        <v>28</v>
      </c>
      <c r="E456" s="2" t="s">
        <v>24</v>
      </c>
      <c r="F456" s="4">
        <v>323.04000000000002</v>
      </c>
    </row>
    <row r="457" spans="1:6" ht="15" thickBot="1" x14ac:dyDescent="0.35">
      <c r="A457" s="3" t="s">
        <v>134</v>
      </c>
      <c r="B457" s="2" t="s">
        <v>7</v>
      </c>
      <c r="C457" s="2" t="s">
        <v>23</v>
      </c>
      <c r="D457" s="2" t="s">
        <v>28</v>
      </c>
      <c r="E457" s="2" t="s">
        <v>24</v>
      </c>
      <c r="F457" s="4">
        <v>3867.63</v>
      </c>
    </row>
    <row r="458" spans="1:6" ht="15" thickBot="1" x14ac:dyDescent="0.35">
      <c r="A458" s="3" t="s">
        <v>172</v>
      </c>
      <c r="B458" s="2" t="s">
        <v>7</v>
      </c>
      <c r="C458" s="2" t="s">
        <v>23</v>
      </c>
      <c r="D458" s="2" t="s">
        <v>9</v>
      </c>
      <c r="E458" s="2" t="s">
        <v>15</v>
      </c>
      <c r="F458" s="4">
        <v>748.11408010000002</v>
      </c>
    </row>
    <row r="459" spans="1:6" ht="15" thickBot="1" x14ac:dyDescent="0.35">
      <c r="A459" s="3" t="s">
        <v>37</v>
      </c>
      <c r="B459" s="2" t="s">
        <v>17</v>
      </c>
      <c r="C459" s="2" t="s">
        <v>23</v>
      </c>
      <c r="D459" s="2" t="s">
        <v>9</v>
      </c>
      <c r="E459" s="2" t="s">
        <v>15</v>
      </c>
      <c r="F459" s="4">
        <v>654.85997269999996</v>
      </c>
    </row>
    <row r="460" spans="1:6" ht="15" thickBot="1" x14ac:dyDescent="0.35">
      <c r="A460" s="3" t="s">
        <v>50</v>
      </c>
      <c r="B460" s="2" t="s">
        <v>19</v>
      </c>
      <c r="C460" s="2" t="s">
        <v>8</v>
      </c>
      <c r="D460" s="2" t="s">
        <v>14</v>
      </c>
      <c r="E460" s="2" t="s">
        <v>24</v>
      </c>
      <c r="F460" s="4">
        <v>2241.89</v>
      </c>
    </row>
    <row r="461" spans="1:6" ht="15" thickBot="1" x14ac:dyDescent="0.35">
      <c r="A461" s="3" t="s">
        <v>48</v>
      </c>
      <c r="B461" s="2" t="s">
        <v>19</v>
      </c>
      <c r="C461" s="2" t="s">
        <v>13</v>
      </c>
      <c r="D461" s="2" t="s">
        <v>28</v>
      </c>
      <c r="E461" s="2" t="s">
        <v>10</v>
      </c>
      <c r="F461" s="4">
        <v>3489.31</v>
      </c>
    </row>
    <row r="462" spans="1:6" ht="15" thickBot="1" x14ac:dyDescent="0.35">
      <c r="A462" s="3" t="s">
        <v>123</v>
      </c>
      <c r="B462" s="2" t="s">
        <v>30</v>
      </c>
      <c r="C462" s="2" t="s">
        <v>23</v>
      </c>
      <c r="D462" s="2" t="s">
        <v>14</v>
      </c>
      <c r="E462" s="2" t="s">
        <v>15</v>
      </c>
      <c r="F462" s="4">
        <v>2200.2199999999998</v>
      </c>
    </row>
    <row r="463" spans="1:6" ht="15" thickBot="1" x14ac:dyDescent="0.35">
      <c r="A463" s="3" t="s">
        <v>198</v>
      </c>
      <c r="B463" s="2" t="s">
        <v>12</v>
      </c>
      <c r="C463" s="2" t="s">
        <v>23</v>
      </c>
      <c r="D463" s="2" t="s">
        <v>14</v>
      </c>
      <c r="E463" s="2" t="s">
        <v>15</v>
      </c>
      <c r="F463" s="4">
        <v>3247.72</v>
      </c>
    </row>
    <row r="464" spans="1:6" ht="15" thickBot="1" x14ac:dyDescent="0.35">
      <c r="A464" s="3" t="s">
        <v>69</v>
      </c>
      <c r="B464" s="2" t="s">
        <v>7</v>
      </c>
      <c r="C464" s="2" t="s">
        <v>13</v>
      </c>
      <c r="D464" s="2" t="s">
        <v>28</v>
      </c>
      <c r="E464" s="2" t="s">
        <v>24</v>
      </c>
      <c r="F464" s="4">
        <v>3855.39</v>
      </c>
    </row>
    <row r="465" spans="1:6" ht="15" thickBot="1" x14ac:dyDescent="0.35">
      <c r="A465" s="3" t="s">
        <v>35</v>
      </c>
      <c r="B465" s="2" t="s">
        <v>19</v>
      </c>
      <c r="C465" s="2" t="s">
        <v>8</v>
      </c>
      <c r="D465" s="2" t="s">
        <v>9</v>
      </c>
      <c r="E465" s="2" t="s">
        <v>24</v>
      </c>
      <c r="F465" s="4">
        <v>3111.261825</v>
      </c>
    </row>
    <row r="466" spans="1:6" ht="15" thickBot="1" x14ac:dyDescent="0.35">
      <c r="A466" s="3" t="s">
        <v>29</v>
      </c>
      <c r="B466" s="2" t="s">
        <v>30</v>
      </c>
      <c r="C466" s="2" t="s">
        <v>34</v>
      </c>
      <c r="D466" s="2" t="s">
        <v>14</v>
      </c>
      <c r="E466" s="2" t="s">
        <v>10</v>
      </c>
      <c r="F466" s="4">
        <v>2036.83</v>
      </c>
    </row>
    <row r="467" spans="1:6" ht="15" thickBot="1" x14ac:dyDescent="0.35">
      <c r="A467" s="3" t="s">
        <v>63</v>
      </c>
      <c r="B467" s="2" t="s">
        <v>12</v>
      </c>
      <c r="C467" s="2" t="s">
        <v>8</v>
      </c>
      <c r="D467" s="2" t="s">
        <v>14</v>
      </c>
      <c r="E467" s="2" t="s">
        <v>15</v>
      </c>
      <c r="F467" s="4">
        <v>4876.37</v>
      </c>
    </row>
    <row r="468" spans="1:6" ht="15" thickBot="1" x14ac:dyDescent="0.35">
      <c r="A468" s="3" t="s">
        <v>149</v>
      </c>
      <c r="B468" s="2" t="s">
        <v>17</v>
      </c>
      <c r="C468" s="2" t="s">
        <v>8</v>
      </c>
      <c r="D468" s="2" t="s">
        <v>14</v>
      </c>
      <c r="E468" s="2" t="s">
        <v>24</v>
      </c>
      <c r="F468" s="4">
        <v>4256.16</v>
      </c>
    </row>
    <row r="469" spans="1:6" ht="15" thickBot="1" x14ac:dyDescent="0.35">
      <c r="A469" s="3" t="s">
        <v>36</v>
      </c>
      <c r="B469" s="2" t="s">
        <v>12</v>
      </c>
      <c r="C469" s="2" t="s">
        <v>13</v>
      </c>
      <c r="D469" s="2" t="s">
        <v>14</v>
      </c>
      <c r="E469" s="2" t="s">
        <v>15</v>
      </c>
      <c r="F469" s="4">
        <v>4947.18</v>
      </c>
    </row>
    <row r="470" spans="1:6" ht="15" thickBot="1" x14ac:dyDescent="0.35">
      <c r="A470" s="3" t="s">
        <v>38</v>
      </c>
      <c r="B470" s="2" t="s">
        <v>30</v>
      </c>
      <c r="C470" s="2" t="s">
        <v>34</v>
      </c>
      <c r="D470" s="2" t="s">
        <v>28</v>
      </c>
      <c r="E470" s="2" t="s">
        <v>10</v>
      </c>
      <c r="F470" s="4">
        <v>425.91</v>
      </c>
    </row>
    <row r="471" spans="1:6" ht="15" thickBot="1" x14ac:dyDescent="0.35">
      <c r="A471" s="3" t="s">
        <v>182</v>
      </c>
      <c r="B471" s="2" t="s">
        <v>12</v>
      </c>
      <c r="C471" s="2" t="s">
        <v>8</v>
      </c>
      <c r="D471" s="2" t="s">
        <v>28</v>
      </c>
      <c r="E471" s="2" t="s">
        <v>10</v>
      </c>
      <c r="F471" s="4">
        <v>4620.84</v>
      </c>
    </row>
    <row r="472" spans="1:6" ht="15" thickBot="1" x14ac:dyDescent="0.35">
      <c r="A472" s="3" t="s">
        <v>87</v>
      </c>
      <c r="B472" s="2" t="s">
        <v>12</v>
      </c>
      <c r="C472" s="2" t="s">
        <v>8</v>
      </c>
      <c r="D472" s="2" t="s">
        <v>9</v>
      </c>
      <c r="E472" s="2" t="s">
        <v>24</v>
      </c>
      <c r="F472" s="4">
        <v>4302.503428</v>
      </c>
    </row>
    <row r="473" spans="1:6" ht="15" thickBot="1" x14ac:dyDescent="0.35">
      <c r="A473" s="3" t="s">
        <v>159</v>
      </c>
      <c r="B473" s="2" t="s">
        <v>7</v>
      </c>
      <c r="C473" s="2" t="s">
        <v>34</v>
      </c>
      <c r="D473" s="2" t="s">
        <v>14</v>
      </c>
      <c r="E473" s="2" t="s">
        <v>15</v>
      </c>
      <c r="F473" s="4">
        <v>2571.46</v>
      </c>
    </row>
    <row r="474" spans="1:6" ht="15" thickBot="1" x14ac:dyDescent="0.35">
      <c r="A474" s="3" t="s">
        <v>106</v>
      </c>
      <c r="B474" s="2" t="s">
        <v>12</v>
      </c>
      <c r="C474" s="2" t="s">
        <v>8</v>
      </c>
      <c r="D474" s="2" t="s">
        <v>14</v>
      </c>
      <c r="E474" s="2" t="s">
        <v>15</v>
      </c>
      <c r="F474" s="4">
        <v>968.92</v>
      </c>
    </row>
    <row r="475" spans="1:6" ht="15" thickBot="1" x14ac:dyDescent="0.35">
      <c r="A475" s="3" t="s">
        <v>18</v>
      </c>
      <c r="B475" s="2" t="s">
        <v>19</v>
      </c>
      <c r="C475" s="2" t="s">
        <v>23</v>
      </c>
      <c r="D475" s="2" t="s">
        <v>9</v>
      </c>
      <c r="E475" s="2" t="s">
        <v>24</v>
      </c>
      <c r="F475" s="4">
        <v>2916.987545</v>
      </c>
    </row>
    <row r="476" spans="1:6" ht="15" thickBot="1" x14ac:dyDescent="0.35">
      <c r="A476" s="3" t="s">
        <v>33</v>
      </c>
      <c r="B476" s="2" t="s">
        <v>19</v>
      </c>
      <c r="C476" s="2" t="s">
        <v>8</v>
      </c>
      <c r="D476" s="2" t="s">
        <v>9</v>
      </c>
      <c r="E476" s="2" t="s">
        <v>10</v>
      </c>
      <c r="F476" s="4">
        <v>4400.8911360000002</v>
      </c>
    </row>
    <row r="477" spans="1:6" ht="15" thickBot="1" x14ac:dyDescent="0.35">
      <c r="A477" s="3" t="s">
        <v>195</v>
      </c>
      <c r="B477" s="2" t="s">
        <v>7</v>
      </c>
      <c r="C477" s="2" t="s">
        <v>13</v>
      </c>
      <c r="D477" s="2" t="s">
        <v>9</v>
      </c>
      <c r="E477" s="2" t="s">
        <v>10</v>
      </c>
      <c r="F477" s="4">
        <v>1791.2917809999999</v>
      </c>
    </row>
    <row r="478" spans="1:6" ht="15" thickBot="1" x14ac:dyDescent="0.35">
      <c r="A478" s="3" t="s">
        <v>61</v>
      </c>
      <c r="B478" s="2" t="s">
        <v>30</v>
      </c>
      <c r="C478" s="2" t="s">
        <v>8</v>
      </c>
      <c r="D478" s="2" t="s">
        <v>14</v>
      </c>
      <c r="E478" s="2" t="s">
        <v>15</v>
      </c>
      <c r="F478" s="4">
        <v>594.47</v>
      </c>
    </row>
    <row r="479" spans="1:6" ht="15" thickBot="1" x14ac:dyDescent="0.35">
      <c r="A479" s="3" t="s">
        <v>199</v>
      </c>
      <c r="B479" s="2" t="s">
        <v>17</v>
      </c>
      <c r="C479" s="2" t="s">
        <v>34</v>
      </c>
      <c r="D479" s="2" t="s">
        <v>28</v>
      </c>
      <c r="E479" s="2" t="s">
        <v>15</v>
      </c>
      <c r="F479" s="4">
        <v>2602.85</v>
      </c>
    </row>
    <row r="480" spans="1:6" ht="15" thickBot="1" x14ac:dyDescent="0.35">
      <c r="A480" s="3" t="s">
        <v>31</v>
      </c>
      <c r="B480" s="2" t="s">
        <v>30</v>
      </c>
      <c r="C480" s="2" t="s">
        <v>8</v>
      </c>
      <c r="D480" s="2" t="s">
        <v>14</v>
      </c>
      <c r="E480" s="2" t="s">
        <v>24</v>
      </c>
      <c r="F480" s="4">
        <v>558.53</v>
      </c>
    </row>
    <row r="481" spans="1:6" ht="15" thickBot="1" x14ac:dyDescent="0.35">
      <c r="A481" s="3" t="s">
        <v>105</v>
      </c>
      <c r="B481" s="2" t="s">
        <v>30</v>
      </c>
      <c r="C481" s="2" t="s">
        <v>23</v>
      </c>
      <c r="D481" s="2" t="s">
        <v>28</v>
      </c>
      <c r="E481" s="2" t="s">
        <v>24</v>
      </c>
      <c r="F481" s="4">
        <v>3004.54</v>
      </c>
    </row>
    <row r="482" spans="1:6" ht="15" thickBot="1" x14ac:dyDescent="0.35">
      <c r="A482" s="3" t="s">
        <v>104</v>
      </c>
      <c r="B482" s="2" t="s">
        <v>17</v>
      </c>
      <c r="C482" s="2" t="s">
        <v>34</v>
      </c>
      <c r="D482" s="2" t="s">
        <v>14</v>
      </c>
      <c r="E482" s="2" t="s">
        <v>15</v>
      </c>
      <c r="F482" s="4">
        <v>1288.92</v>
      </c>
    </row>
    <row r="483" spans="1:6" ht="15" thickBot="1" x14ac:dyDescent="0.35">
      <c r="A483" s="3" t="s">
        <v>200</v>
      </c>
      <c r="B483" s="2" t="s">
        <v>30</v>
      </c>
      <c r="C483" s="2" t="s">
        <v>8</v>
      </c>
      <c r="D483" s="2" t="s">
        <v>9</v>
      </c>
      <c r="E483" s="2" t="s">
        <v>24</v>
      </c>
      <c r="F483" s="4">
        <v>4950.7719509999997</v>
      </c>
    </row>
    <row r="484" spans="1:6" ht="15" thickBot="1" x14ac:dyDescent="0.35">
      <c r="A484" s="3" t="s">
        <v>33</v>
      </c>
      <c r="B484" s="2" t="s">
        <v>19</v>
      </c>
      <c r="C484" s="2" t="s">
        <v>34</v>
      </c>
      <c r="D484" s="2" t="s">
        <v>28</v>
      </c>
      <c r="E484" s="2" t="s">
        <v>24</v>
      </c>
      <c r="F484" s="4">
        <v>3982.02</v>
      </c>
    </row>
    <row r="485" spans="1:6" ht="15" thickBot="1" x14ac:dyDescent="0.35">
      <c r="A485" s="3" t="s">
        <v>196</v>
      </c>
      <c r="B485" s="2" t="s">
        <v>30</v>
      </c>
      <c r="C485" s="2" t="s">
        <v>8</v>
      </c>
      <c r="D485" s="2" t="s">
        <v>28</v>
      </c>
      <c r="E485" s="2" t="s">
        <v>24</v>
      </c>
      <c r="F485" s="4">
        <v>106.32</v>
      </c>
    </row>
    <row r="486" spans="1:6" ht="15" thickBot="1" x14ac:dyDescent="0.35">
      <c r="A486" s="3" t="s">
        <v>201</v>
      </c>
      <c r="B486" s="2" t="s">
        <v>12</v>
      </c>
      <c r="C486" s="2" t="s">
        <v>34</v>
      </c>
      <c r="D486" s="2" t="s">
        <v>9</v>
      </c>
      <c r="E486" s="2" t="s">
        <v>10</v>
      </c>
      <c r="F486" s="4">
        <v>1752.0338509999999</v>
      </c>
    </row>
    <row r="487" spans="1:6" ht="15" thickBot="1" x14ac:dyDescent="0.35">
      <c r="A487" s="3" t="s">
        <v>129</v>
      </c>
      <c r="B487" s="2" t="s">
        <v>17</v>
      </c>
      <c r="C487" s="2" t="s">
        <v>13</v>
      </c>
      <c r="D487" s="2" t="s">
        <v>28</v>
      </c>
      <c r="E487" s="2" t="s">
        <v>15</v>
      </c>
      <c r="F487" s="4">
        <v>2963</v>
      </c>
    </row>
    <row r="488" spans="1:6" ht="15" thickBot="1" x14ac:dyDescent="0.35">
      <c r="A488" s="3" t="s">
        <v>180</v>
      </c>
      <c r="B488" s="2" t="s">
        <v>30</v>
      </c>
      <c r="C488" s="2" t="s">
        <v>13</v>
      </c>
      <c r="D488" s="2" t="s">
        <v>28</v>
      </c>
      <c r="E488" s="2" t="s">
        <v>10</v>
      </c>
      <c r="F488" s="4">
        <v>2067.13</v>
      </c>
    </row>
    <row r="489" spans="1:6" ht="15" thickBot="1" x14ac:dyDescent="0.35">
      <c r="A489" s="3" t="s">
        <v>181</v>
      </c>
      <c r="B489" s="2" t="s">
        <v>30</v>
      </c>
      <c r="C489" s="2" t="s">
        <v>8</v>
      </c>
      <c r="D489" s="2" t="s">
        <v>28</v>
      </c>
      <c r="E489" s="2" t="s">
        <v>15</v>
      </c>
      <c r="F489" s="4">
        <v>1493.38</v>
      </c>
    </row>
    <row r="490" spans="1:6" ht="15" thickBot="1" x14ac:dyDescent="0.35">
      <c r="A490" s="3" t="s">
        <v>173</v>
      </c>
      <c r="B490" s="2" t="s">
        <v>30</v>
      </c>
      <c r="C490" s="2" t="s">
        <v>8</v>
      </c>
      <c r="D490" s="2" t="s">
        <v>9</v>
      </c>
      <c r="E490" s="2" t="s">
        <v>24</v>
      </c>
      <c r="F490" s="4">
        <v>1311.8245979999999</v>
      </c>
    </row>
    <row r="491" spans="1:6" ht="15" thickBot="1" x14ac:dyDescent="0.35">
      <c r="A491" s="3" t="s">
        <v>200</v>
      </c>
      <c r="B491" s="2" t="s">
        <v>30</v>
      </c>
      <c r="C491" s="2" t="s">
        <v>8</v>
      </c>
      <c r="D491" s="2" t="s">
        <v>9</v>
      </c>
      <c r="E491" s="2" t="s">
        <v>15</v>
      </c>
      <c r="F491" s="4">
        <v>3998.6273169999999</v>
      </c>
    </row>
    <row r="492" spans="1:6" ht="15" thickBot="1" x14ac:dyDescent="0.35">
      <c r="A492" s="3" t="s">
        <v>33</v>
      </c>
      <c r="B492" s="2" t="s">
        <v>19</v>
      </c>
      <c r="C492" s="2" t="s">
        <v>34</v>
      </c>
      <c r="D492" s="2" t="s">
        <v>14</v>
      </c>
      <c r="E492" s="2" t="s">
        <v>10</v>
      </c>
      <c r="F492" s="4">
        <v>4224.63</v>
      </c>
    </row>
    <row r="493" spans="1:6" ht="15" thickBot="1" x14ac:dyDescent="0.35">
      <c r="A493" s="3" t="s">
        <v>96</v>
      </c>
      <c r="B493" s="2" t="s">
        <v>19</v>
      </c>
      <c r="C493" s="2" t="s">
        <v>34</v>
      </c>
      <c r="D493" s="2" t="s">
        <v>9</v>
      </c>
      <c r="E493" s="2" t="s">
        <v>15</v>
      </c>
      <c r="F493" s="4">
        <v>2249.1121229999999</v>
      </c>
    </row>
    <row r="494" spans="1:6" ht="15" thickBot="1" x14ac:dyDescent="0.35">
      <c r="A494" s="3" t="s">
        <v>105</v>
      </c>
      <c r="B494" s="2" t="s">
        <v>30</v>
      </c>
      <c r="C494" s="2" t="s">
        <v>23</v>
      </c>
      <c r="D494" s="2" t="s">
        <v>28</v>
      </c>
      <c r="E494" s="2" t="s">
        <v>24</v>
      </c>
      <c r="F494" s="4">
        <v>1492.82</v>
      </c>
    </row>
    <row r="495" spans="1:6" ht="15" thickBot="1" x14ac:dyDescent="0.35">
      <c r="A495" s="3" t="s">
        <v>132</v>
      </c>
      <c r="B495" s="2" t="s">
        <v>19</v>
      </c>
      <c r="C495" s="2" t="s">
        <v>8</v>
      </c>
      <c r="D495" s="2" t="s">
        <v>9</v>
      </c>
      <c r="E495" s="2" t="s">
        <v>24</v>
      </c>
      <c r="F495" s="4">
        <v>4652.8755929999998</v>
      </c>
    </row>
    <row r="496" spans="1:6" ht="15" thickBot="1" x14ac:dyDescent="0.35">
      <c r="A496" s="3" t="s">
        <v>69</v>
      </c>
      <c r="B496" s="2" t="s">
        <v>7</v>
      </c>
      <c r="C496" s="2" t="s">
        <v>34</v>
      </c>
      <c r="D496" s="2" t="s">
        <v>14</v>
      </c>
      <c r="E496" s="2" t="s">
        <v>10</v>
      </c>
      <c r="F496" s="4">
        <v>2725.88</v>
      </c>
    </row>
    <row r="497" spans="1:6" ht="15" thickBot="1" x14ac:dyDescent="0.35">
      <c r="A497" s="3" t="s">
        <v>75</v>
      </c>
      <c r="B497" s="2" t="s">
        <v>19</v>
      </c>
      <c r="C497" s="2" t="s">
        <v>23</v>
      </c>
      <c r="D497" s="2" t="s">
        <v>9</v>
      </c>
      <c r="E497" s="2" t="s">
        <v>24</v>
      </c>
      <c r="F497" s="4">
        <v>3666.3757099999998</v>
      </c>
    </row>
    <row r="498" spans="1:6" ht="15" thickBot="1" x14ac:dyDescent="0.35">
      <c r="A498" s="3" t="s">
        <v>202</v>
      </c>
      <c r="B498" s="2" t="s">
        <v>12</v>
      </c>
      <c r="C498" s="2" t="s">
        <v>23</v>
      </c>
      <c r="D498" s="2" t="s">
        <v>28</v>
      </c>
      <c r="E498" s="2" t="s">
        <v>15</v>
      </c>
      <c r="F498" s="4">
        <v>216.52</v>
      </c>
    </row>
    <row r="499" spans="1:6" ht="15" thickBot="1" x14ac:dyDescent="0.35">
      <c r="A499" s="3" t="s">
        <v>203</v>
      </c>
      <c r="B499" s="2" t="s">
        <v>12</v>
      </c>
      <c r="C499" s="2" t="s">
        <v>34</v>
      </c>
      <c r="D499" s="2" t="s">
        <v>14</v>
      </c>
      <c r="E499" s="2" t="s">
        <v>10</v>
      </c>
      <c r="F499" s="4">
        <v>1898.59</v>
      </c>
    </row>
    <row r="500" spans="1:6" ht="15" thickBot="1" x14ac:dyDescent="0.35">
      <c r="A500" s="3" t="s">
        <v>94</v>
      </c>
      <c r="B500" s="2" t="s">
        <v>7</v>
      </c>
      <c r="C500" s="2" t="s">
        <v>23</v>
      </c>
      <c r="D500" s="2" t="s">
        <v>9</v>
      </c>
      <c r="E500" s="2" t="s">
        <v>10</v>
      </c>
      <c r="F500" s="4">
        <v>3557.5735020000002</v>
      </c>
    </row>
    <row r="501" spans="1:6" ht="15" thickBot="1" x14ac:dyDescent="0.35">
      <c r="A501" s="3" t="s">
        <v>116</v>
      </c>
      <c r="B501" s="2" t="s">
        <v>17</v>
      </c>
      <c r="C501" s="2" t="s">
        <v>13</v>
      </c>
      <c r="D501" s="2" t="s">
        <v>9</v>
      </c>
      <c r="E501" s="2" t="s">
        <v>15</v>
      </c>
      <c r="F501" s="4">
        <v>1488.084012</v>
      </c>
    </row>
    <row r="502" spans="1:6" ht="15" thickBot="1" x14ac:dyDescent="0.35">
      <c r="A502" s="3" t="s">
        <v>6</v>
      </c>
      <c r="B502" s="2" t="s">
        <v>7</v>
      </c>
      <c r="C502" s="2" t="s">
        <v>23</v>
      </c>
      <c r="D502" s="2" t="s">
        <v>14</v>
      </c>
      <c r="E502" s="2" t="s">
        <v>10</v>
      </c>
      <c r="F502" s="4">
        <v>4949.0200000000004</v>
      </c>
    </row>
    <row r="503" spans="1:6" ht="15" thickBot="1" x14ac:dyDescent="0.35">
      <c r="A503" s="3" t="s">
        <v>56</v>
      </c>
      <c r="B503" s="2" t="s">
        <v>19</v>
      </c>
      <c r="C503" s="2" t="s">
        <v>34</v>
      </c>
      <c r="D503" s="2" t="s">
        <v>9</v>
      </c>
      <c r="E503" s="2" t="s">
        <v>15</v>
      </c>
      <c r="F503" s="4">
        <v>601.16792499999997</v>
      </c>
    </row>
    <row r="504" spans="1:6" ht="15" thickBot="1" x14ac:dyDescent="0.35">
      <c r="A504" s="3" t="s">
        <v>32</v>
      </c>
      <c r="B504" s="2" t="s">
        <v>7</v>
      </c>
      <c r="C504" s="2" t="s">
        <v>23</v>
      </c>
      <c r="D504" s="2" t="s">
        <v>9</v>
      </c>
      <c r="E504" s="2" t="s">
        <v>15</v>
      </c>
      <c r="F504" s="4">
        <v>4121.8599999999997</v>
      </c>
    </row>
    <row r="505" spans="1:6" ht="15" thickBot="1" x14ac:dyDescent="0.35">
      <c r="A505" s="3" t="s">
        <v>96</v>
      </c>
      <c r="B505" s="2" t="s">
        <v>19</v>
      </c>
      <c r="C505" s="2" t="s">
        <v>13</v>
      </c>
      <c r="D505" s="2" t="s">
        <v>28</v>
      </c>
      <c r="E505" s="2" t="s">
        <v>15</v>
      </c>
      <c r="F505" s="4">
        <v>2038.67</v>
      </c>
    </row>
    <row r="506" spans="1:6" ht="15" thickBot="1" x14ac:dyDescent="0.35">
      <c r="A506" s="3" t="s">
        <v>151</v>
      </c>
      <c r="B506" s="2" t="s">
        <v>12</v>
      </c>
      <c r="C506" s="2" t="s">
        <v>23</v>
      </c>
      <c r="D506" s="2" t="s">
        <v>14</v>
      </c>
      <c r="E506" s="2" t="s">
        <v>10</v>
      </c>
      <c r="F506" s="4">
        <v>1823.3</v>
      </c>
    </row>
    <row r="507" spans="1:6" ht="15" thickBot="1" x14ac:dyDescent="0.35">
      <c r="A507" s="3" t="s">
        <v>204</v>
      </c>
      <c r="B507" s="2" t="s">
        <v>30</v>
      </c>
      <c r="C507" s="2" t="s">
        <v>8</v>
      </c>
      <c r="D507" s="2" t="s">
        <v>9</v>
      </c>
      <c r="E507" s="2" t="s">
        <v>10</v>
      </c>
      <c r="F507" s="4">
        <v>380.59776870000002</v>
      </c>
    </row>
    <row r="508" spans="1:6" ht="15" thickBot="1" x14ac:dyDescent="0.35">
      <c r="A508" s="3" t="s">
        <v>189</v>
      </c>
      <c r="B508" s="2" t="s">
        <v>19</v>
      </c>
      <c r="C508" s="2" t="s">
        <v>13</v>
      </c>
      <c r="D508" s="2" t="s">
        <v>28</v>
      </c>
      <c r="E508" s="2" t="s">
        <v>15</v>
      </c>
      <c r="F508" s="4">
        <v>3069.63</v>
      </c>
    </row>
    <row r="509" spans="1:6" ht="15" thickBot="1" x14ac:dyDescent="0.35">
      <c r="A509" s="3" t="s">
        <v>121</v>
      </c>
      <c r="B509" s="2" t="s">
        <v>30</v>
      </c>
      <c r="C509" s="2" t="s">
        <v>8</v>
      </c>
      <c r="D509" s="2" t="s">
        <v>28</v>
      </c>
      <c r="E509" s="2" t="s">
        <v>15</v>
      </c>
      <c r="F509" s="4">
        <v>1532.06</v>
      </c>
    </row>
    <row r="510" spans="1:6" ht="15" thickBot="1" x14ac:dyDescent="0.35">
      <c r="A510" s="3" t="s">
        <v>125</v>
      </c>
      <c r="B510" s="2" t="s">
        <v>7</v>
      </c>
      <c r="C510" s="2" t="s">
        <v>8</v>
      </c>
      <c r="D510" s="2" t="s">
        <v>28</v>
      </c>
      <c r="E510" s="2" t="s">
        <v>10</v>
      </c>
      <c r="F510" s="4">
        <v>3269.38</v>
      </c>
    </row>
    <row r="511" spans="1:6" ht="15" thickBot="1" x14ac:dyDescent="0.35">
      <c r="A511" s="3" t="s">
        <v>75</v>
      </c>
      <c r="B511" s="2" t="s">
        <v>19</v>
      </c>
      <c r="C511" s="2" t="s">
        <v>8</v>
      </c>
      <c r="D511" s="2" t="s">
        <v>9</v>
      </c>
      <c r="E511" s="2" t="s">
        <v>10</v>
      </c>
      <c r="F511" s="4">
        <v>2397.750059</v>
      </c>
    </row>
    <row r="512" spans="1:6" ht="15" thickBot="1" x14ac:dyDescent="0.35">
      <c r="A512" s="3" t="s">
        <v>58</v>
      </c>
      <c r="B512" s="2" t="s">
        <v>17</v>
      </c>
      <c r="C512" s="2" t="s">
        <v>34</v>
      </c>
      <c r="D512" s="2" t="s">
        <v>14</v>
      </c>
      <c r="E512" s="2" t="s">
        <v>10</v>
      </c>
      <c r="F512" s="4">
        <v>1104.3599999999999</v>
      </c>
    </row>
    <row r="513" spans="1:6" ht="15" thickBot="1" x14ac:dyDescent="0.35">
      <c r="A513" s="3" t="s">
        <v>89</v>
      </c>
      <c r="B513" s="2" t="s">
        <v>17</v>
      </c>
      <c r="C513" s="2" t="s">
        <v>8</v>
      </c>
      <c r="D513" s="2" t="s">
        <v>9</v>
      </c>
      <c r="E513" s="2" t="s">
        <v>24</v>
      </c>
      <c r="F513" s="4">
        <v>5406.2894820000001</v>
      </c>
    </row>
    <row r="514" spans="1:6" ht="15" thickBot="1" x14ac:dyDescent="0.35">
      <c r="A514" s="3" t="s">
        <v>97</v>
      </c>
      <c r="B514" s="2" t="s">
        <v>7</v>
      </c>
      <c r="C514" s="2" t="s">
        <v>8</v>
      </c>
      <c r="D514" s="2" t="s">
        <v>28</v>
      </c>
      <c r="E514" s="2" t="s">
        <v>15</v>
      </c>
      <c r="F514" s="4">
        <v>2419.31</v>
      </c>
    </row>
    <row r="515" spans="1:6" ht="15" thickBot="1" x14ac:dyDescent="0.35">
      <c r="A515" s="3" t="s">
        <v>153</v>
      </c>
      <c r="B515" s="2" t="s">
        <v>7</v>
      </c>
      <c r="C515" s="2" t="s">
        <v>34</v>
      </c>
      <c r="D515" s="2" t="s">
        <v>9</v>
      </c>
      <c r="E515" s="2" t="s">
        <v>24</v>
      </c>
      <c r="F515" s="4">
        <v>1984.2661450000001</v>
      </c>
    </row>
    <row r="516" spans="1:6" ht="15" thickBot="1" x14ac:dyDescent="0.35">
      <c r="A516" s="3" t="s">
        <v>74</v>
      </c>
      <c r="B516" s="2" t="s">
        <v>19</v>
      </c>
      <c r="C516" s="2" t="s">
        <v>13</v>
      </c>
      <c r="D516" s="2" t="s">
        <v>28</v>
      </c>
      <c r="E516" s="2" t="s">
        <v>15</v>
      </c>
      <c r="F516" s="4">
        <v>2554.5100000000002</v>
      </c>
    </row>
    <row r="517" spans="1:6" ht="15" thickBot="1" x14ac:dyDescent="0.35">
      <c r="A517" s="3" t="s">
        <v>193</v>
      </c>
      <c r="B517" s="2" t="s">
        <v>12</v>
      </c>
      <c r="C517" s="2" t="s">
        <v>23</v>
      </c>
      <c r="D517" s="2" t="s">
        <v>14</v>
      </c>
      <c r="E517" s="2" t="s">
        <v>10</v>
      </c>
      <c r="F517" s="4">
        <v>2087.4</v>
      </c>
    </row>
    <row r="518" spans="1:6" ht="15" thickBot="1" x14ac:dyDescent="0.35">
      <c r="A518" s="3" t="s">
        <v>121</v>
      </c>
      <c r="B518" s="2" t="s">
        <v>30</v>
      </c>
      <c r="C518" s="2" t="s">
        <v>34</v>
      </c>
      <c r="D518" s="2" t="s">
        <v>28</v>
      </c>
      <c r="E518" s="2" t="s">
        <v>15</v>
      </c>
      <c r="F518" s="4">
        <v>3785.96</v>
      </c>
    </row>
    <row r="519" spans="1:6" ht="15" thickBot="1" x14ac:dyDescent="0.35">
      <c r="A519" s="3" t="s">
        <v>110</v>
      </c>
      <c r="B519" s="2" t="s">
        <v>12</v>
      </c>
      <c r="C519" s="2" t="s">
        <v>23</v>
      </c>
      <c r="D519" s="2" t="s">
        <v>14</v>
      </c>
      <c r="E519" s="2" t="s">
        <v>15</v>
      </c>
      <c r="F519" s="4">
        <v>4818.79</v>
      </c>
    </row>
    <row r="520" spans="1:6" ht="15" thickBot="1" x14ac:dyDescent="0.35">
      <c r="A520" s="3" t="s">
        <v>105</v>
      </c>
      <c r="B520" s="2" t="s">
        <v>30</v>
      </c>
      <c r="C520" s="2" t="s">
        <v>13</v>
      </c>
      <c r="D520" s="2" t="s">
        <v>14</v>
      </c>
      <c r="E520" s="2" t="s">
        <v>15</v>
      </c>
      <c r="F520" s="4">
        <v>4888.34</v>
      </c>
    </row>
    <row r="521" spans="1:6" ht="15" thickBot="1" x14ac:dyDescent="0.35">
      <c r="A521" s="3" t="s">
        <v>16</v>
      </c>
      <c r="B521" s="2" t="s">
        <v>17</v>
      </c>
      <c r="C521" s="2" t="s">
        <v>34</v>
      </c>
      <c r="D521" s="2" t="s">
        <v>14</v>
      </c>
      <c r="E521" s="2" t="s">
        <v>15</v>
      </c>
      <c r="F521" s="4">
        <v>3595.37</v>
      </c>
    </row>
    <row r="522" spans="1:6" ht="15" thickBot="1" x14ac:dyDescent="0.35">
      <c r="A522" s="3" t="s">
        <v>109</v>
      </c>
      <c r="B522" s="2" t="s">
        <v>12</v>
      </c>
      <c r="C522" s="2" t="s">
        <v>34</v>
      </c>
      <c r="D522" s="2" t="s">
        <v>14</v>
      </c>
      <c r="E522" s="2" t="s">
        <v>10</v>
      </c>
      <c r="F522" s="4">
        <v>4258.79</v>
      </c>
    </row>
    <row r="523" spans="1:6" ht="15" thickBot="1" x14ac:dyDescent="0.35">
      <c r="A523" s="3" t="s">
        <v>186</v>
      </c>
      <c r="B523" s="2" t="s">
        <v>30</v>
      </c>
      <c r="C523" s="2" t="s">
        <v>34</v>
      </c>
      <c r="D523" s="2" t="s">
        <v>28</v>
      </c>
      <c r="E523" s="2" t="s">
        <v>15</v>
      </c>
      <c r="F523" s="4">
        <v>2679.07</v>
      </c>
    </row>
    <row r="524" spans="1:6" ht="15" thickBot="1" x14ac:dyDescent="0.35">
      <c r="A524" s="3" t="s">
        <v>53</v>
      </c>
      <c r="B524" s="2" t="s">
        <v>7</v>
      </c>
      <c r="C524" s="2" t="s">
        <v>8</v>
      </c>
      <c r="D524" s="2" t="s">
        <v>28</v>
      </c>
      <c r="E524" s="2" t="s">
        <v>24</v>
      </c>
      <c r="F524" s="4">
        <v>3884.75</v>
      </c>
    </row>
    <row r="525" spans="1:6" ht="15" thickBot="1" x14ac:dyDescent="0.35">
      <c r="A525" s="3" t="s">
        <v>52</v>
      </c>
      <c r="B525" s="2" t="s">
        <v>19</v>
      </c>
      <c r="C525" s="2" t="s">
        <v>34</v>
      </c>
      <c r="D525" s="2" t="s">
        <v>28</v>
      </c>
      <c r="E525" s="2" t="s">
        <v>24</v>
      </c>
      <c r="F525" s="4">
        <v>3771</v>
      </c>
    </row>
    <row r="526" spans="1:6" ht="15" thickBot="1" x14ac:dyDescent="0.35">
      <c r="A526" s="3" t="s">
        <v>152</v>
      </c>
      <c r="B526" s="2" t="s">
        <v>30</v>
      </c>
      <c r="C526" s="2" t="s">
        <v>8</v>
      </c>
      <c r="D526" s="2" t="s">
        <v>9</v>
      </c>
      <c r="E526" s="2" t="s">
        <v>10</v>
      </c>
      <c r="F526" s="4">
        <v>3711.3889049999998</v>
      </c>
    </row>
    <row r="527" spans="1:6" ht="15" thickBot="1" x14ac:dyDescent="0.35">
      <c r="A527" s="3" t="s">
        <v>74</v>
      </c>
      <c r="B527" s="2" t="s">
        <v>19</v>
      </c>
      <c r="C527" s="2" t="s">
        <v>34</v>
      </c>
      <c r="D527" s="2" t="s">
        <v>14</v>
      </c>
      <c r="E527" s="2" t="s">
        <v>15</v>
      </c>
      <c r="F527" s="4">
        <v>506.34</v>
      </c>
    </row>
    <row r="528" spans="1:6" ht="15" thickBot="1" x14ac:dyDescent="0.35">
      <c r="A528" s="3" t="s">
        <v>67</v>
      </c>
      <c r="B528" s="2" t="s">
        <v>7</v>
      </c>
      <c r="C528" s="2" t="s">
        <v>8</v>
      </c>
      <c r="D528" s="2" t="s">
        <v>9</v>
      </c>
      <c r="E528" s="2" t="s">
        <v>10</v>
      </c>
      <c r="F528" s="4">
        <v>2868.75</v>
      </c>
    </row>
    <row r="529" spans="1:6" ht="15" thickBot="1" x14ac:dyDescent="0.35">
      <c r="A529" s="3" t="s">
        <v>180</v>
      </c>
      <c r="B529" s="2" t="s">
        <v>30</v>
      </c>
      <c r="C529" s="2" t="s">
        <v>13</v>
      </c>
      <c r="D529" s="2" t="s">
        <v>28</v>
      </c>
      <c r="E529" s="2" t="s">
        <v>15</v>
      </c>
      <c r="F529" s="4">
        <v>4633.6899999999996</v>
      </c>
    </row>
    <row r="530" spans="1:6" ht="15" thickBot="1" x14ac:dyDescent="0.35">
      <c r="A530" s="3" t="s">
        <v>63</v>
      </c>
      <c r="B530" s="2" t="s">
        <v>12</v>
      </c>
      <c r="C530" s="2" t="s">
        <v>23</v>
      </c>
      <c r="D530" s="2" t="s">
        <v>28</v>
      </c>
      <c r="E530" s="2" t="s">
        <v>15</v>
      </c>
      <c r="F530" s="4">
        <v>822.11</v>
      </c>
    </row>
    <row r="531" spans="1:6" ht="15" thickBot="1" x14ac:dyDescent="0.35">
      <c r="A531" s="3" t="s">
        <v>119</v>
      </c>
      <c r="B531" s="2" t="s">
        <v>30</v>
      </c>
      <c r="C531" s="2" t="s">
        <v>34</v>
      </c>
      <c r="D531" s="2" t="s">
        <v>28</v>
      </c>
      <c r="E531" s="2" t="s">
        <v>24</v>
      </c>
      <c r="F531" s="4">
        <v>381.04</v>
      </c>
    </row>
    <row r="532" spans="1:6" ht="15" thickBot="1" x14ac:dyDescent="0.35">
      <c r="A532" s="3" t="s">
        <v>113</v>
      </c>
      <c r="B532" s="2" t="s">
        <v>30</v>
      </c>
      <c r="C532" s="2" t="s">
        <v>23</v>
      </c>
      <c r="D532" s="2" t="s">
        <v>14</v>
      </c>
      <c r="E532" s="2" t="s">
        <v>10</v>
      </c>
      <c r="F532" s="4">
        <v>4854.5</v>
      </c>
    </row>
    <row r="533" spans="1:6" ht="15" thickBot="1" x14ac:dyDescent="0.35">
      <c r="A533" s="3" t="s">
        <v>38</v>
      </c>
      <c r="B533" s="2" t="s">
        <v>30</v>
      </c>
      <c r="C533" s="2" t="s">
        <v>34</v>
      </c>
      <c r="D533" s="2" t="s">
        <v>14</v>
      </c>
      <c r="E533" s="2" t="s">
        <v>10</v>
      </c>
      <c r="F533" s="4">
        <v>4069.56</v>
      </c>
    </row>
    <row r="534" spans="1:6" ht="15" thickBot="1" x14ac:dyDescent="0.35">
      <c r="A534" s="3" t="s">
        <v>141</v>
      </c>
      <c r="B534" s="2" t="s">
        <v>7</v>
      </c>
      <c r="C534" s="2" t="s">
        <v>8</v>
      </c>
      <c r="D534" s="2" t="s">
        <v>28</v>
      </c>
      <c r="E534" s="2" t="s">
        <v>24</v>
      </c>
      <c r="F534" s="4">
        <v>4573.76</v>
      </c>
    </row>
    <row r="535" spans="1:6" ht="15" thickBot="1" x14ac:dyDescent="0.35">
      <c r="A535" s="3" t="s">
        <v>160</v>
      </c>
      <c r="B535" s="2" t="s">
        <v>30</v>
      </c>
      <c r="C535" s="2" t="s">
        <v>34</v>
      </c>
      <c r="D535" s="2" t="s">
        <v>28</v>
      </c>
      <c r="E535" s="2" t="s">
        <v>15</v>
      </c>
      <c r="F535" s="4">
        <v>202.63</v>
      </c>
    </row>
    <row r="536" spans="1:6" ht="15" thickBot="1" x14ac:dyDescent="0.35">
      <c r="A536" s="3" t="s">
        <v>107</v>
      </c>
      <c r="B536" s="2" t="s">
        <v>30</v>
      </c>
      <c r="C536" s="2" t="s">
        <v>34</v>
      </c>
      <c r="D536" s="2" t="s">
        <v>14</v>
      </c>
      <c r="E536" s="2" t="s">
        <v>10</v>
      </c>
      <c r="F536" s="4">
        <v>948.57</v>
      </c>
    </row>
    <row r="537" spans="1:6" ht="15" thickBot="1" x14ac:dyDescent="0.35">
      <c r="A537" s="3" t="s">
        <v>155</v>
      </c>
      <c r="B537" s="2" t="s">
        <v>7</v>
      </c>
      <c r="C537" s="2" t="s">
        <v>23</v>
      </c>
      <c r="D537" s="2" t="s">
        <v>9</v>
      </c>
      <c r="E537" s="2" t="s">
        <v>24</v>
      </c>
      <c r="F537" s="4">
        <v>1391.940732</v>
      </c>
    </row>
    <row r="538" spans="1:6" ht="15" thickBot="1" x14ac:dyDescent="0.35">
      <c r="A538" s="3" t="s">
        <v>103</v>
      </c>
      <c r="B538" s="2" t="s">
        <v>19</v>
      </c>
      <c r="C538" s="2" t="s">
        <v>8</v>
      </c>
      <c r="D538" s="2" t="s">
        <v>9</v>
      </c>
      <c r="E538" s="2" t="s">
        <v>10</v>
      </c>
      <c r="F538" s="4">
        <v>262.76459319999998</v>
      </c>
    </row>
    <row r="539" spans="1:6" ht="15" thickBot="1" x14ac:dyDescent="0.35">
      <c r="A539" s="3" t="s">
        <v>53</v>
      </c>
      <c r="B539" s="2" t="s">
        <v>7</v>
      </c>
      <c r="C539" s="2" t="s">
        <v>23</v>
      </c>
      <c r="D539" s="2" t="s">
        <v>28</v>
      </c>
      <c r="E539" s="2" t="s">
        <v>24</v>
      </c>
      <c r="F539" s="4">
        <v>1987.36</v>
      </c>
    </row>
    <row r="540" spans="1:6" ht="15" thickBot="1" x14ac:dyDescent="0.35">
      <c r="A540" s="3" t="s">
        <v>178</v>
      </c>
      <c r="B540" s="2" t="s">
        <v>30</v>
      </c>
      <c r="C540" s="2" t="s">
        <v>34</v>
      </c>
      <c r="D540" s="2" t="s">
        <v>14</v>
      </c>
      <c r="E540" s="2" t="s">
        <v>10</v>
      </c>
      <c r="F540" s="4">
        <v>4710.57</v>
      </c>
    </row>
    <row r="541" spans="1:6" ht="15" thickBot="1" x14ac:dyDescent="0.35">
      <c r="A541" s="3" t="s">
        <v>135</v>
      </c>
      <c r="B541" s="2" t="s">
        <v>12</v>
      </c>
      <c r="C541" s="2" t="s">
        <v>23</v>
      </c>
      <c r="D541" s="2" t="s">
        <v>9</v>
      </c>
      <c r="E541" s="2" t="s">
        <v>15</v>
      </c>
      <c r="F541" s="4">
        <v>897.12</v>
      </c>
    </row>
    <row r="542" spans="1:6" ht="15" thickBot="1" x14ac:dyDescent="0.35">
      <c r="A542" s="3" t="s">
        <v>52</v>
      </c>
      <c r="B542" s="2" t="s">
        <v>19</v>
      </c>
      <c r="C542" s="2" t="s">
        <v>8</v>
      </c>
      <c r="D542" s="2" t="s">
        <v>28</v>
      </c>
      <c r="E542" s="2" t="s">
        <v>10</v>
      </c>
      <c r="F542" s="4">
        <v>4466.1000000000004</v>
      </c>
    </row>
    <row r="543" spans="1:6" ht="15" thickBot="1" x14ac:dyDescent="0.35">
      <c r="A543" s="3" t="s">
        <v>55</v>
      </c>
      <c r="B543" s="2" t="s">
        <v>12</v>
      </c>
      <c r="C543" s="2" t="s">
        <v>13</v>
      </c>
      <c r="D543" s="2" t="s">
        <v>28</v>
      </c>
      <c r="E543" s="2" t="s">
        <v>24</v>
      </c>
      <c r="F543" s="4">
        <v>4306.16</v>
      </c>
    </row>
    <row r="544" spans="1:6" ht="15" thickBot="1" x14ac:dyDescent="0.35">
      <c r="A544" s="3" t="s">
        <v>205</v>
      </c>
      <c r="B544" s="2" t="s">
        <v>17</v>
      </c>
      <c r="C544" s="2" t="s">
        <v>13</v>
      </c>
      <c r="D544" s="2" t="s">
        <v>28</v>
      </c>
      <c r="E544" s="2" t="s">
        <v>24</v>
      </c>
      <c r="F544" s="4">
        <v>3510.58</v>
      </c>
    </row>
    <row r="545" spans="1:6" ht="15" thickBot="1" x14ac:dyDescent="0.35">
      <c r="A545" s="3" t="s">
        <v>50</v>
      </c>
      <c r="B545" s="2" t="s">
        <v>19</v>
      </c>
      <c r="C545" s="2" t="s">
        <v>13</v>
      </c>
      <c r="D545" s="2" t="s">
        <v>14</v>
      </c>
      <c r="E545" s="2" t="s">
        <v>24</v>
      </c>
      <c r="F545" s="4">
        <v>1053.8399999999999</v>
      </c>
    </row>
    <row r="546" spans="1:6" ht="15" thickBot="1" x14ac:dyDescent="0.35">
      <c r="A546" s="3" t="s">
        <v>185</v>
      </c>
      <c r="B546" s="2" t="s">
        <v>30</v>
      </c>
      <c r="C546" s="2" t="s">
        <v>13</v>
      </c>
      <c r="D546" s="2" t="s">
        <v>14</v>
      </c>
      <c r="E546" s="2" t="s">
        <v>15</v>
      </c>
      <c r="F546" s="4">
        <v>1084.81</v>
      </c>
    </row>
    <row r="547" spans="1:6" ht="15" thickBot="1" x14ac:dyDescent="0.35">
      <c r="A547" s="3" t="s">
        <v>124</v>
      </c>
      <c r="B547" s="2" t="s">
        <v>12</v>
      </c>
      <c r="C547" s="2" t="s">
        <v>34</v>
      </c>
      <c r="D547" s="2" t="s">
        <v>14</v>
      </c>
      <c r="E547" s="2" t="s">
        <v>10</v>
      </c>
      <c r="F547" s="4">
        <v>618.54</v>
      </c>
    </row>
    <row r="548" spans="1:6" ht="15" thickBot="1" x14ac:dyDescent="0.35">
      <c r="A548" s="3" t="s">
        <v>138</v>
      </c>
      <c r="B548" s="2" t="s">
        <v>12</v>
      </c>
      <c r="C548" s="2" t="s">
        <v>13</v>
      </c>
      <c r="D548" s="2" t="s">
        <v>28</v>
      </c>
      <c r="E548" s="2" t="s">
        <v>24</v>
      </c>
      <c r="F548" s="4">
        <v>3730.83</v>
      </c>
    </row>
    <row r="549" spans="1:6" ht="15" thickBot="1" x14ac:dyDescent="0.35">
      <c r="A549" s="3" t="s">
        <v>178</v>
      </c>
      <c r="B549" s="2" t="s">
        <v>30</v>
      </c>
      <c r="C549" s="2" t="s">
        <v>8</v>
      </c>
      <c r="D549" s="2" t="s">
        <v>9</v>
      </c>
      <c r="E549" s="2" t="s">
        <v>24</v>
      </c>
      <c r="F549" s="4">
        <v>3608.0164239999999</v>
      </c>
    </row>
    <row r="550" spans="1:6" ht="15" thickBot="1" x14ac:dyDescent="0.35">
      <c r="A550" s="3" t="s">
        <v>129</v>
      </c>
      <c r="B550" s="2" t="s">
        <v>17</v>
      </c>
      <c r="C550" s="2" t="s">
        <v>34</v>
      </c>
      <c r="D550" s="2" t="s">
        <v>14</v>
      </c>
      <c r="E550" s="2" t="s">
        <v>24</v>
      </c>
      <c r="F550" s="4">
        <v>4037.93</v>
      </c>
    </row>
    <row r="551" spans="1:6" ht="15" thickBot="1" x14ac:dyDescent="0.35">
      <c r="A551" s="3" t="s">
        <v>35</v>
      </c>
      <c r="B551" s="2" t="s">
        <v>19</v>
      </c>
      <c r="C551" s="2" t="s">
        <v>8</v>
      </c>
      <c r="D551" s="2" t="s">
        <v>9</v>
      </c>
      <c r="E551" s="2" t="s">
        <v>24</v>
      </c>
      <c r="F551" s="4">
        <v>454.38129889999999</v>
      </c>
    </row>
    <row r="552" spans="1:6" ht="15" thickBot="1" x14ac:dyDescent="0.35">
      <c r="A552" s="3" t="s">
        <v>118</v>
      </c>
      <c r="B552" s="2" t="s">
        <v>30</v>
      </c>
      <c r="C552" s="2" t="s">
        <v>34</v>
      </c>
      <c r="D552" s="2" t="s">
        <v>14</v>
      </c>
      <c r="E552" s="2" t="s">
        <v>24</v>
      </c>
      <c r="F552" s="4">
        <v>3824.73</v>
      </c>
    </row>
    <row r="553" spans="1:6" ht="15" thickBot="1" x14ac:dyDescent="0.35">
      <c r="A553" s="3" t="s">
        <v>127</v>
      </c>
      <c r="B553" s="2" t="s">
        <v>17</v>
      </c>
      <c r="C553" s="2" t="s">
        <v>23</v>
      </c>
      <c r="D553" s="2" t="s">
        <v>9</v>
      </c>
      <c r="E553" s="2" t="s">
        <v>15</v>
      </c>
      <c r="F553" s="4">
        <v>2188.666952</v>
      </c>
    </row>
    <row r="554" spans="1:6" ht="15" thickBot="1" x14ac:dyDescent="0.35">
      <c r="A554" s="3" t="s">
        <v>57</v>
      </c>
      <c r="B554" s="2" t="s">
        <v>19</v>
      </c>
      <c r="C554" s="2" t="s">
        <v>23</v>
      </c>
      <c r="D554" s="2" t="s">
        <v>14</v>
      </c>
      <c r="E554" s="2" t="s">
        <v>24</v>
      </c>
      <c r="F554" s="4">
        <v>1638.41</v>
      </c>
    </row>
    <row r="555" spans="1:6" ht="15" thickBot="1" x14ac:dyDescent="0.35">
      <c r="A555" s="3" t="s">
        <v>41</v>
      </c>
      <c r="B555" s="2" t="s">
        <v>30</v>
      </c>
      <c r="C555" s="2" t="s">
        <v>8</v>
      </c>
      <c r="D555" s="2" t="s">
        <v>14</v>
      </c>
      <c r="E555" s="2" t="s">
        <v>15</v>
      </c>
      <c r="F555" s="4">
        <v>4638.62</v>
      </c>
    </row>
    <row r="556" spans="1:6" ht="15" thickBot="1" x14ac:dyDescent="0.35">
      <c r="A556" s="3" t="s">
        <v>21</v>
      </c>
      <c r="B556" s="2" t="s">
        <v>19</v>
      </c>
      <c r="C556" s="2" t="s">
        <v>13</v>
      </c>
      <c r="D556" s="2" t="s">
        <v>14</v>
      </c>
      <c r="E556" s="2" t="s">
        <v>15</v>
      </c>
      <c r="F556" s="4">
        <v>2700.91</v>
      </c>
    </row>
    <row r="557" spans="1:6" ht="15" thickBot="1" x14ac:dyDescent="0.35">
      <c r="A557" s="3" t="s">
        <v>36</v>
      </c>
      <c r="B557" s="2" t="s">
        <v>12</v>
      </c>
      <c r="C557" s="2" t="s">
        <v>8</v>
      </c>
      <c r="D557" s="2" t="s">
        <v>14</v>
      </c>
      <c r="E557" s="2" t="s">
        <v>24</v>
      </c>
      <c r="F557" s="4">
        <v>4888.18</v>
      </c>
    </row>
    <row r="558" spans="1:6" ht="15" thickBot="1" x14ac:dyDescent="0.35">
      <c r="A558" s="3" t="s">
        <v>79</v>
      </c>
      <c r="B558" s="2" t="s">
        <v>17</v>
      </c>
      <c r="C558" s="2" t="s">
        <v>8</v>
      </c>
      <c r="D558" s="2" t="s">
        <v>9</v>
      </c>
      <c r="E558" s="2" t="s">
        <v>10</v>
      </c>
      <c r="F558" s="4">
        <v>1395.928737</v>
      </c>
    </row>
    <row r="559" spans="1:6" ht="15" thickBot="1" x14ac:dyDescent="0.35">
      <c r="A559" s="3" t="s">
        <v>186</v>
      </c>
      <c r="B559" s="2" t="s">
        <v>30</v>
      </c>
      <c r="C559" s="2" t="s">
        <v>34</v>
      </c>
      <c r="D559" s="2" t="s">
        <v>28</v>
      </c>
      <c r="E559" s="2" t="s">
        <v>24</v>
      </c>
      <c r="F559" s="4">
        <v>2978</v>
      </c>
    </row>
    <row r="560" spans="1:6" ht="15" thickBot="1" x14ac:dyDescent="0.35">
      <c r="A560" s="3" t="s">
        <v>183</v>
      </c>
      <c r="B560" s="2" t="s">
        <v>7</v>
      </c>
      <c r="C560" s="2" t="s">
        <v>23</v>
      </c>
      <c r="D560" s="2" t="s">
        <v>14</v>
      </c>
      <c r="E560" s="2" t="s">
        <v>10</v>
      </c>
      <c r="F560" s="4">
        <v>2047.72</v>
      </c>
    </row>
    <row r="561" spans="1:6" ht="15" thickBot="1" x14ac:dyDescent="0.35">
      <c r="A561" s="3" t="s">
        <v>206</v>
      </c>
      <c r="B561" s="2" t="s">
        <v>19</v>
      </c>
      <c r="C561" s="2" t="s">
        <v>23</v>
      </c>
      <c r="D561" s="2" t="s">
        <v>14</v>
      </c>
      <c r="E561" s="2" t="s">
        <v>15</v>
      </c>
      <c r="F561" s="4">
        <v>2384.92</v>
      </c>
    </row>
    <row r="562" spans="1:6" ht="15" thickBot="1" x14ac:dyDescent="0.35">
      <c r="A562" s="3" t="s">
        <v>80</v>
      </c>
      <c r="B562" s="2" t="s">
        <v>17</v>
      </c>
      <c r="C562" s="2" t="s">
        <v>23</v>
      </c>
      <c r="D562" s="2" t="s">
        <v>9</v>
      </c>
      <c r="E562" s="2" t="s">
        <v>10</v>
      </c>
      <c r="F562" s="4">
        <v>1560.1904489999999</v>
      </c>
    </row>
    <row r="563" spans="1:6" ht="15" thickBot="1" x14ac:dyDescent="0.35">
      <c r="A563" s="3" t="s">
        <v>64</v>
      </c>
      <c r="B563" s="2" t="s">
        <v>30</v>
      </c>
      <c r="C563" s="2" t="s">
        <v>8</v>
      </c>
      <c r="D563" s="2" t="s">
        <v>14</v>
      </c>
      <c r="E563" s="2" t="s">
        <v>24</v>
      </c>
      <c r="F563" s="4">
        <v>4290.7299999999996</v>
      </c>
    </row>
    <row r="564" spans="1:6" ht="15" thickBot="1" x14ac:dyDescent="0.35">
      <c r="A564" s="3" t="s">
        <v>192</v>
      </c>
      <c r="B564" s="2" t="s">
        <v>19</v>
      </c>
      <c r="C564" s="2" t="s">
        <v>8</v>
      </c>
      <c r="D564" s="2" t="s">
        <v>9</v>
      </c>
      <c r="E564" s="2" t="s">
        <v>24</v>
      </c>
      <c r="F564" s="4">
        <v>2521.882044</v>
      </c>
    </row>
    <row r="565" spans="1:6" ht="15" thickBot="1" x14ac:dyDescent="0.35">
      <c r="A565" s="3" t="s">
        <v>177</v>
      </c>
      <c r="B565" s="2" t="s">
        <v>7</v>
      </c>
      <c r="C565" s="2" t="s">
        <v>13</v>
      </c>
      <c r="D565" s="2" t="s">
        <v>28</v>
      </c>
      <c r="E565" s="2" t="s">
        <v>15</v>
      </c>
      <c r="F565" s="4">
        <v>3941.05</v>
      </c>
    </row>
    <row r="566" spans="1:6" ht="15" thickBot="1" x14ac:dyDescent="0.35">
      <c r="A566" s="3" t="s">
        <v>189</v>
      </c>
      <c r="B566" s="2" t="s">
        <v>19</v>
      </c>
      <c r="C566" s="2" t="s">
        <v>23</v>
      </c>
      <c r="D566" s="2" t="s">
        <v>14</v>
      </c>
      <c r="E566" s="2" t="s">
        <v>24</v>
      </c>
      <c r="F566" s="4">
        <v>992.87</v>
      </c>
    </row>
    <row r="567" spans="1:6" ht="15" thickBot="1" x14ac:dyDescent="0.35">
      <c r="A567" s="3" t="s">
        <v>74</v>
      </c>
      <c r="B567" s="2" t="s">
        <v>19</v>
      </c>
      <c r="C567" s="2" t="s">
        <v>34</v>
      </c>
      <c r="D567" s="2" t="s">
        <v>14</v>
      </c>
      <c r="E567" s="2" t="s">
        <v>10</v>
      </c>
      <c r="F567" s="4">
        <v>3998.2</v>
      </c>
    </row>
    <row r="568" spans="1:6" ht="15" thickBot="1" x14ac:dyDescent="0.35">
      <c r="A568" s="3" t="s">
        <v>116</v>
      </c>
      <c r="B568" s="2" t="s">
        <v>17</v>
      </c>
      <c r="C568" s="2" t="s">
        <v>13</v>
      </c>
      <c r="D568" s="2" t="s">
        <v>28</v>
      </c>
      <c r="E568" s="2" t="s">
        <v>24</v>
      </c>
      <c r="F568" s="4">
        <v>951.15</v>
      </c>
    </row>
    <row r="569" spans="1:6" ht="15" thickBot="1" x14ac:dyDescent="0.35">
      <c r="A569" s="3" t="s">
        <v>207</v>
      </c>
      <c r="B569" s="2" t="s">
        <v>17</v>
      </c>
      <c r="C569" s="2" t="s">
        <v>34</v>
      </c>
      <c r="D569" s="2" t="s">
        <v>9</v>
      </c>
      <c r="E569" s="2" t="s">
        <v>10</v>
      </c>
      <c r="F569" s="4">
        <v>602.29235949999998</v>
      </c>
    </row>
    <row r="570" spans="1:6" ht="15" thickBot="1" x14ac:dyDescent="0.35">
      <c r="A570" s="3" t="s">
        <v>21</v>
      </c>
      <c r="B570" s="2" t="s">
        <v>19</v>
      </c>
      <c r="C570" s="2" t="s">
        <v>13</v>
      </c>
      <c r="D570" s="2" t="s">
        <v>14</v>
      </c>
      <c r="E570" s="2" t="s">
        <v>15</v>
      </c>
      <c r="F570" s="4">
        <v>4791.01</v>
      </c>
    </row>
    <row r="571" spans="1:6" ht="15" thickBot="1" x14ac:dyDescent="0.35">
      <c r="A571" s="3" t="s">
        <v>70</v>
      </c>
      <c r="B571" s="2" t="s">
        <v>19</v>
      </c>
      <c r="C571" s="2" t="s">
        <v>23</v>
      </c>
      <c r="D571" s="2" t="s">
        <v>14</v>
      </c>
      <c r="E571" s="2" t="s">
        <v>15</v>
      </c>
      <c r="F571" s="4">
        <v>2408.38</v>
      </c>
    </row>
    <row r="572" spans="1:6" ht="15" thickBot="1" x14ac:dyDescent="0.35">
      <c r="A572" s="3" t="s">
        <v>40</v>
      </c>
      <c r="B572" s="2" t="s">
        <v>19</v>
      </c>
      <c r="C572" s="2" t="s">
        <v>13</v>
      </c>
      <c r="D572" s="2" t="s">
        <v>9</v>
      </c>
      <c r="E572" s="2" t="s">
        <v>10</v>
      </c>
      <c r="F572" s="4">
        <v>2703.065008</v>
      </c>
    </row>
    <row r="573" spans="1:6" ht="15" thickBot="1" x14ac:dyDescent="0.35">
      <c r="A573" s="3" t="s">
        <v>189</v>
      </c>
      <c r="B573" s="2" t="s">
        <v>19</v>
      </c>
      <c r="C573" s="2" t="s">
        <v>34</v>
      </c>
      <c r="D573" s="2" t="s">
        <v>28</v>
      </c>
      <c r="E573" s="2" t="s">
        <v>15</v>
      </c>
      <c r="F573" s="4">
        <v>4204.6899999999996</v>
      </c>
    </row>
    <row r="574" spans="1:6" ht="15" thickBot="1" x14ac:dyDescent="0.35">
      <c r="A574" s="3" t="s">
        <v>18</v>
      </c>
      <c r="B574" s="2" t="s">
        <v>19</v>
      </c>
      <c r="C574" s="2" t="s">
        <v>34</v>
      </c>
      <c r="D574" s="2" t="s">
        <v>9</v>
      </c>
      <c r="E574" s="2" t="s">
        <v>24</v>
      </c>
      <c r="F574" s="4">
        <v>947.61289599999998</v>
      </c>
    </row>
    <row r="575" spans="1:6" ht="15" thickBot="1" x14ac:dyDescent="0.35">
      <c r="A575" s="3" t="s">
        <v>157</v>
      </c>
      <c r="B575" s="2" t="s">
        <v>30</v>
      </c>
      <c r="C575" s="2" t="s">
        <v>13</v>
      </c>
      <c r="D575" s="2" t="s">
        <v>28</v>
      </c>
      <c r="E575" s="2" t="s">
        <v>10</v>
      </c>
      <c r="F575" s="4">
        <v>3632.9</v>
      </c>
    </row>
    <row r="576" spans="1:6" ht="15" thickBot="1" x14ac:dyDescent="0.35">
      <c r="A576" s="3" t="s">
        <v>108</v>
      </c>
      <c r="B576" s="2" t="s">
        <v>7</v>
      </c>
      <c r="C576" s="2" t="s">
        <v>8</v>
      </c>
      <c r="D576" s="2" t="s">
        <v>9</v>
      </c>
      <c r="E576" s="2" t="s">
        <v>15</v>
      </c>
      <c r="F576" s="4">
        <v>3124.8907899999999</v>
      </c>
    </row>
    <row r="577" spans="1:6" ht="15" thickBot="1" x14ac:dyDescent="0.35">
      <c r="A577" s="3" t="s">
        <v>63</v>
      </c>
      <c r="B577" s="2" t="s">
        <v>12</v>
      </c>
      <c r="C577" s="2" t="s">
        <v>34</v>
      </c>
      <c r="D577" s="2" t="s">
        <v>14</v>
      </c>
      <c r="E577" s="2" t="s">
        <v>24</v>
      </c>
      <c r="F577" s="4">
        <v>4679.05</v>
      </c>
    </row>
    <row r="578" spans="1:6" ht="15" thickBot="1" x14ac:dyDescent="0.35">
      <c r="A578" s="3" t="s">
        <v>147</v>
      </c>
      <c r="B578" s="2" t="s">
        <v>17</v>
      </c>
      <c r="C578" s="2" t="s">
        <v>8</v>
      </c>
      <c r="D578" s="2" t="s">
        <v>9</v>
      </c>
      <c r="E578" s="2" t="s">
        <v>10</v>
      </c>
      <c r="F578" s="4">
        <v>4154.095757</v>
      </c>
    </row>
    <row r="579" spans="1:6" ht="15" thickBot="1" x14ac:dyDescent="0.35">
      <c r="A579" s="3" t="s">
        <v>118</v>
      </c>
      <c r="B579" s="2" t="s">
        <v>30</v>
      </c>
      <c r="C579" s="2" t="s">
        <v>8</v>
      </c>
      <c r="D579" s="2" t="s">
        <v>14</v>
      </c>
      <c r="E579" s="2" t="s">
        <v>10</v>
      </c>
      <c r="F579" s="4">
        <v>132.24</v>
      </c>
    </row>
    <row r="580" spans="1:6" ht="15" thickBot="1" x14ac:dyDescent="0.35">
      <c r="A580" s="3" t="s">
        <v>201</v>
      </c>
      <c r="B580" s="2" t="s">
        <v>12</v>
      </c>
      <c r="C580" s="2" t="s">
        <v>34</v>
      </c>
      <c r="D580" s="2" t="s">
        <v>14</v>
      </c>
      <c r="E580" s="2" t="s">
        <v>15</v>
      </c>
      <c r="F580" s="4">
        <v>3066.65</v>
      </c>
    </row>
    <row r="581" spans="1:6" ht="15" thickBot="1" x14ac:dyDescent="0.35">
      <c r="A581" s="3" t="s">
        <v>142</v>
      </c>
      <c r="B581" s="2" t="s">
        <v>17</v>
      </c>
      <c r="C581" s="2" t="s">
        <v>23</v>
      </c>
      <c r="D581" s="2" t="s">
        <v>9</v>
      </c>
      <c r="E581" s="2" t="s">
        <v>15</v>
      </c>
      <c r="F581" s="4">
        <v>1342.8827699999999</v>
      </c>
    </row>
    <row r="582" spans="1:6" ht="15" thickBot="1" x14ac:dyDescent="0.35">
      <c r="A582" s="3" t="s">
        <v>65</v>
      </c>
      <c r="B582" s="2" t="s">
        <v>30</v>
      </c>
      <c r="C582" s="2" t="s">
        <v>23</v>
      </c>
      <c r="D582" s="2" t="s">
        <v>14</v>
      </c>
      <c r="E582" s="2" t="s">
        <v>24</v>
      </c>
      <c r="F582" s="4">
        <v>3919.95</v>
      </c>
    </row>
    <row r="583" spans="1:6" ht="15" thickBot="1" x14ac:dyDescent="0.35">
      <c r="A583" s="3" t="s">
        <v>143</v>
      </c>
      <c r="B583" s="2" t="s">
        <v>17</v>
      </c>
      <c r="C583" s="2" t="s">
        <v>8</v>
      </c>
      <c r="D583" s="2" t="s">
        <v>14</v>
      </c>
      <c r="E583" s="2" t="s">
        <v>24</v>
      </c>
      <c r="F583" s="4">
        <v>4408.78</v>
      </c>
    </row>
    <row r="584" spans="1:6" ht="15" thickBot="1" x14ac:dyDescent="0.35">
      <c r="A584" s="3" t="s">
        <v>120</v>
      </c>
      <c r="B584" s="2" t="s">
        <v>30</v>
      </c>
      <c r="C584" s="2" t="s">
        <v>34</v>
      </c>
      <c r="D584" s="2" t="s">
        <v>14</v>
      </c>
      <c r="E584" s="2" t="s">
        <v>15</v>
      </c>
      <c r="F584" s="4">
        <v>4970.6899999999996</v>
      </c>
    </row>
    <row r="585" spans="1:6" ht="15" thickBot="1" x14ac:dyDescent="0.35">
      <c r="A585" s="3" t="s">
        <v>192</v>
      </c>
      <c r="B585" s="2" t="s">
        <v>19</v>
      </c>
      <c r="C585" s="2" t="s">
        <v>8</v>
      </c>
      <c r="D585" s="2" t="s">
        <v>9</v>
      </c>
      <c r="E585" s="2" t="s">
        <v>15</v>
      </c>
      <c r="F585" s="4">
        <v>1694.1939150000001</v>
      </c>
    </row>
    <row r="586" spans="1:6" ht="15" thickBot="1" x14ac:dyDescent="0.35">
      <c r="A586" s="3" t="s">
        <v>103</v>
      </c>
      <c r="B586" s="2" t="s">
        <v>19</v>
      </c>
      <c r="C586" s="2" t="s">
        <v>34</v>
      </c>
      <c r="D586" s="2" t="s">
        <v>14</v>
      </c>
      <c r="E586" s="2" t="s">
        <v>15</v>
      </c>
      <c r="F586" s="4">
        <v>4225.8</v>
      </c>
    </row>
    <row r="587" spans="1:6" ht="15" thickBot="1" x14ac:dyDescent="0.35">
      <c r="A587" s="3" t="s">
        <v>89</v>
      </c>
      <c r="B587" s="2" t="s">
        <v>17</v>
      </c>
      <c r="C587" s="2" t="s">
        <v>8</v>
      </c>
      <c r="D587" s="2" t="s">
        <v>14</v>
      </c>
      <c r="E587" s="2" t="s">
        <v>15</v>
      </c>
      <c r="F587" s="4">
        <v>2933.56</v>
      </c>
    </row>
    <row r="588" spans="1:6" ht="15" thickBot="1" x14ac:dyDescent="0.35">
      <c r="A588" s="3" t="s">
        <v>111</v>
      </c>
      <c r="B588" s="2" t="s">
        <v>19</v>
      </c>
      <c r="C588" s="2" t="s">
        <v>23</v>
      </c>
      <c r="D588" s="2" t="s">
        <v>9</v>
      </c>
      <c r="E588" s="2" t="s">
        <v>10</v>
      </c>
      <c r="F588" s="4">
        <v>1192.3339940000001</v>
      </c>
    </row>
    <row r="589" spans="1:6" ht="15" thickBot="1" x14ac:dyDescent="0.35">
      <c r="A589" s="3" t="s">
        <v>183</v>
      </c>
      <c r="B589" s="2" t="s">
        <v>7</v>
      </c>
      <c r="C589" s="2" t="s">
        <v>8</v>
      </c>
      <c r="D589" s="2" t="s">
        <v>14</v>
      </c>
      <c r="E589" s="2" t="s">
        <v>24</v>
      </c>
      <c r="F589" s="4">
        <v>2457.1</v>
      </c>
    </row>
    <row r="590" spans="1:6" ht="15" thickBot="1" x14ac:dyDescent="0.35">
      <c r="A590" s="3" t="s">
        <v>116</v>
      </c>
      <c r="B590" s="2" t="s">
        <v>17</v>
      </c>
      <c r="C590" s="2" t="s">
        <v>13</v>
      </c>
      <c r="D590" s="2" t="s">
        <v>28</v>
      </c>
      <c r="E590" s="2" t="s">
        <v>24</v>
      </c>
      <c r="F590" s="4">
        <v>3801.93</v>
      </c>
    </row>
    <row r="591" spans="1:6" ht="15" thickBot="1" x14ac:dyDescent="0.35">
      <c r="A591" s="3" t="s">
        <v>72</v>
      </c>
      <c r="B591" s="2" t="s">
        <v>19</v>
      </c>
      <c r="C591" s="2" t="s">
        <v>34</v>
      </c>
      <c r="D591" s="2" t="s">
        <v>28</v>
      </c>
      <c r="E591" s="2" t="s">
        <v>24</v>
      </c>
      <c r="F591" s="4">
        <v>2334.69</v>
      </c>
    </row>
    <row r="592" spans="1:6" ht="15" thickBot="1" x14ac:dyDescent="0.35">
      <c r="A592" s="3" t="s">
        <v>94</v>
      </c>
      <c r="B592" s="2" t="s">
        <v>7</v>
      </c>
      <c r="C592" s="2" t="s">
        <v>13</v>
      </c>
      <c r="D592" s="2" t="s">
        <v>28</v>
      </c>
      <c r="E592" s="2" t="s">
        <v>10</v>
      </c>
      <c r="F592" s="4">
        <v>4761.95</v>
      </c>
    </row>
    <row r="593" spans="1:6" ht="15" thickBot="1" x14ac:dyDescent="0.35">
      <c r="A593" s="3" t="s">
        <v>135</v>
      </c>
      <c r="B593" s="2" t="s">
        <v>12</v>
      </c>
      <c r="C593" s="2" t="s">
        <v>34</v>
      </c>
      <c r="D593" s="2" t="s">
        <v>14</v>
      </c>
      <c r="E593" s="2" t="s">
        <v>24</v>
      </c>
      <c r="F593" s="4">
        <v>4516.03</v>
      </c>
    </row>
    <row r="594" spans="1:6" ht="15" thickBot="1" x14ac:dyDescent="0.35">
      <c r="A594" s="3" t="s">
        <v>190</v>
      </c>
      <c r="B594" s="2" t="s">
        <v>17</v>
      </c>
      <c r="C594" s="2" t="s">
        <v>8</v>
      </c>
      <c r="D594" s="2" t="s">
        <v>9</v>
      </c>
      <c r="E594" s="2" t="s">
        <v>24</v>
      </c>
      <c r="F594" s="4">
        <v>4645.5949979999996</v>
      </c>
    </row>
    <row r="595" spans="1:6" ht="15" thickBot="1" x14ac:dyDescent="0.35">
      <c r="A595" s="3" t="s">
        <v>63</v>
      </c>
      <c r="B595" s="2" t="s">
        <v>12</v>
      </c>
      <c r="C595" s="2" t="s">
        <v>23</v>
      </c>
      <c r="D595" s="2" t="s">
        <v>28</v>
      </c>
      <c r="E595" s="2" t="s">
        <v>24</v>
      </c>
      <c r="F595" s="4">
        <v>3245.36</v>
      </c>
    </row>
    <row r="596" spans="1:6" ht="15" thickBot="1" x14ac:dyDescent="0.35">
      <c r="A596" s="3" t="s">
        <v>208</v>
      </c>
      <c r="B596" s="2" t="s">
        <v>19</v>
      </c>
      <c r="C596" s="2" t="s">
        <v>23</v>
      </c>
      <c r="D596" s="2" t="s">
        <v>14</v>
      </c>
      <c r="E596" s="2" t="s">
        <v>10</v>
      </c>
      <c r="F596" s="4">
        <v>3907.47</v>
      </c>
    </row>
    <row r="597" spans="1:6" ht="15" thickBot="1" x14ac:dyDescent="0.35">
      <c r="A597" s="3" t="s">
        <v>176</v>
      </c>
      <c r="B597" s="2" t="s">
        <v>19</v>
      </c>
      <c r="C597" s="2" t="s">
        <v>13</v>
      </c>
      <c r="D597" s="2" t="s">
        <v>9</v>
      </c>
      <c r="E597" s="2" t="s">
        <v>10</v>
      </c>
      <c r="F597" s="4">
        <v>1337.8548840000001</v>
      </c>
    </row>
    <row r="598" spans="1:6" ht="15" thickBot="1" x14ac:dyDescent="0.35">
      <c r="A598" s="3" t="s">
        <v>43</v>
      </c>
      <c r="B598" s="2" t="s">
        <v>17</v>
      </c>
      <c r="C598" s="2" t="s">
        <v>23</v>
      </c>
      <c r="D598" s="2" t="s">
        <v>28</v>
      </c>
      <c r="E598" s="2" t="s">
        <v>10</v>
      </c>
      <c r="F598" s="4">
        <v>3487.09</v>
      </c>
    </row>
    <row r="599" spans="1:6" ht="15" thickBot="1" x14ac:dyDescent="0.35">
      <c r="A599" s="3" t="s">
        <v>209</v>
      </c>
      <c r="B599" s="2" t="s">
        <v>7</v>
      </c>
      <c r="C599" s="2" t="s">
        <v>23</v>
      </c>
      <c r="D599" s="2" t="s">
        <v>9</v>
      </c>
      <c r="E599" s="2" t="s">
        <v>15</v>
      </c>
      <c r="F599" s="4">
        <v>4959.5938470000001</v>
      </c>
    </row>
    <row r="600" spans="1:6" ht="15" thickBot="1" x14ac:dyDescent="0.35">
      <c r="A600" s="3" t="s">
        <v>129</v>
      </c>
      <c r="B600" s="2" t="s">
        <v>17</v>
      </c>
      <c r="C600" s="2" t="s">
        <v>8</v>
      </c>
      <c r="D600" s="2" t="s">
        <v>28</v>
      </c>
      <c r="E600" s="2" t="s">
        <v>15</v>
      </c>
      <c r="F600" s="4">
        <v>4294.03</v>
      </c>
    </row>
    <row r="601" spans="1:6" ht="15" thickBot="1" x14ac:dyDescent="0.35">
      <c r="A601" s="3" t="s">
        <v>25</v>
      </c>
      <c r="B601" s="2" t="s">
        <v>19</v>
      </c>
      <c r="C601" s="2" t="s">
        <v>8</v>
      </c>
      <c r="D601" s="2" t="s">
        <v>14</v>
      </c>
      <c r="E601" s="2" t="s">
        <v>10</v>
      </c>
      <c r="F601" s="4">
        <v>648.78</v>
      </c>
    </row>
    <row r="602" spans="1:6" ht="15" thickBot="1" x14ac:dyDescent="0.35">
      <c r="A602" s="3" t="s">
        <v>25</v>
      </c>
      <c r="B602" s="2" t="s">
        <v>19</v>
      </c>
      <c r="C602" s="2" t="s">
        <v>13</v>
      </c>
      <c r="D602" s="2" t="s">
        <v>14</v>
      </c>
      <c r="E602" s="2" t="s">
        <v>10</v>
      </c>
      <c r="F602" s="4">
        <v>3771.9</v>
      </c>
    </row>
    <row r="603" spans="1:6" ht="15" thickBot="1" x14ac:dyDescent="0.35">
      <c r="A603" s="3" t="s">
        <v>116</v>
      </c>
      <c r="B603" s="2" t="s">
        <v>17</v>
      </c>
      <c r="C603" s="2" t="s">
        <v>34</v>
      </c>
      <c r="D603" s="2" t="s">
        <v>9</v>
      </c>
      <c r="E603" s="2" t="s">
        <v>24</v>
      </c>
      <c r="F603" s="4">
        <v>3071.55413</v>
      </c>
    </row>
    <row r="604" spans="1:6" ht="15" thickBot="1" x14ac:dyDescent="0.35">
      <c r="A604" s="3" t="s">
        <v>50</v>
      </c>
      <c r="B604" s="2" t="s">
        <v>19</v>
      </c>
      <c r="C604" s="2" t="s">
        <v>13</v>
      </c>
      <c r="D604" s="2" t="s">
        <v>28</v>
      </c>
      <c r="E604" s="2" t="s">
        <v>24</v>
      </c>
      <c r="F604" s="4">
        <v>2591.1799999999998</v>
      </c>
    </row>
    <row r="605" spans="1:6" ht="15" thickBot="1" x14ac:dyDescent="0.35">
      <c r="A605" s="3" t="s">
        <v>36</v>
      </c>
      <c r="B605" s="2" t="s">
        <v>12</v>
      </c>
      <c r="C605" s="2" t="s">
        <v>23</v>
      </c>
      <c r="D605" s="2" t="s">
        <v>14</v>
      </c>
      <c r="E605" s="2" t="s">
        <v>15</v>
      </c>
      <c r="F605" s="4">
        <v>3280.07</v>
      </c>
    </row>
    <row r="606" spans="1:6" ht="15" thickBot="1" x14ac:dyDescent="0.35">
      <c r="A606" s="3" t="s">
        <v>46</v>
      </c>
      <c r="B606" s="2" t="s">
        <v>30</v>
      </c>
      <c r="C606" s="2" t="s">
        <v>34</v>
      </c>
      <c r="D606" s="2" t="s">
        <v>28</v>
      </c>
      <c r="E606" s="2" t="s">
        <v>15</v>
      </c>
      <c r="F606" s="4">
        <v>632.11</v>
      </c>
    </row>
    <row r="607" spans="1:6" ht="15" thickBot="1" x14ac:dyDescent="0.35">
      <c r="A607" s="3" t="s">
        <v>175</v>
      </c>
      <c r="B607" s="2" t="s">
        <v>7</v>
      </c>
      <c r="C607" s="2" t="s">
        <v>13</v>
      </c>
      <c r="D607" s="2" t="s">
        <v>14</v>
      </c>
      <c r="E607" s="2" t="s">
        <v>10</v>
      </c>
      <c r="F607" s="4">
        <v>2914.08</v>
      </c>
    </row>
    <row r="608" spans="1:6" ht="15" thickBot="1" x14ac:dyDescent="0.35">
      <c r="A608" s="3" t="s">
        <v>63</v>
      </c>
      <c r="B608" s="2" t="s">
        <v>12</v>
      </c>
      <c r="C608" s="2" t="s">
        <v>34</v>
      </c>
      <c r="D608" s="2" t="s">
        <v>28</v>
      </c>
      <c r="E608" s="2" t="s">
        <v>10</v>
      </c>
      <c r="F608" s="4">
        <v>637.63</v>
      </c>
    </row>
    <row r="609" spans="1:6" ht="15" thickBot="1" x14ac:dyDescent="0.35">
      <c r="A609" s="3" t="s">
        <v>97</v>
      </c>
      <c r="B609" s="2" t="s">
        <v>7</v>
      </c>
      <c r="C609" s="2" t="s">
        <v>23</v>
      </c>
      <c r="D609" s="2" t="s">
        <v>14</v>
      </c>
      <c r="E609" s="2" t="s">
        <v>24</v>
      </c>
      <c r="F609" s="4">
        <v>1996.46</v>
      </c>
    </row>
    <row r="610" spans="1:6" ht="15" thickBot="1" x14ac:dyDescent="0.35">
      <c r="A610" s="3" t="s">
        <v>48</v>
      </c>
      <c r="B610" s="2" t="s">
        <v>19</v>
      </c>
      <c r="C610" s="2" t="s">
        <v>23</v>
      </c>
      <c r="D610" s="2" t="s">
        <v>14</v>
      </c>
      <c r="E610" s="2" t="s">
        <v>24</v>
      </c>
      <c r="F610" s="4">
        <v>1059.26</v>
      </c>
    </row>
    <row r="611" spans="1:6" ht="15" thickBot="1" x14ac:dyDescent="0.35">
      <c r="A611" s="3" t="s">
        <v>36</v>
      </c>
      <c r="B611" s="2" t="s">
        <v>12</v>
      </c>
      <c r="C611" s="2" t="s">
        <v>13</v>
      </c>
      <c r="D611" s="2" t="s">
        <v>9</v>
      </c>
      <c r="E611" s="2" t="s">
        <v>24</v>
      </c>
      <c r="F611" s="4">
        <v>3555.9372720000001</v>
      </c>
    </row>
    <row r="612" spans="1:6" ht="15" thickBot="1" x14ac:dyDescent="0.35">
      <c r="A612" s="3" t="s">
        <v>99</v>
      </c>
      <c r="B612" s="2" t="s">
        <v>19</v>
      </c>
      <c r="C612" s="2" t="s">
        <v>34</v>
      </c>
      <c r="D612" s="2" t="s">
        <v>14</v>
      </c>
      <c r="E612" s="2" t="s">
        <v>15</v>
      </c>
      <c r="F612" s="4">
        <v>3698.27</v>
      </c>
    </row>
    <row r="613" spans="1:6" ht="15" thickBot="1" x14ac:dyDescent="0.35">
      <c r="A613" s="3" t="s">
        <v>175</v>
      </c>
      <c r="B613" s="2" t="s">
        <v>7</v>
      </c>
      <c r="C613" s="2" t="s">
        <v>34</v>
      </c>
      <c r="D613" s="2" t="s">
        <v>14</v>
      </c>
      <c r="E613" s="2" t="s">
        <v>15</v>
      </c>
      <c r="F613" s="4">
        <v>2286.9699999999998</v>
      </c>
    </row>
    <row r="614" spans="1:6" ht="15" thickBot="1" x14ac:dyDescent="0.35">
      <c r="A614" s="3" t="s">
        <v>41</v>
      </c>
      <c r="B614" s="2" t="s">
        <v>30</v>
      </c>
      <c r="C614" s="2" t="s">
        <v>34</v>
      </c>
      <c r="D614" s="2" t="s">
        <v>14</v>
      </c>
      <c r="E614" s="2" t="s">
        <v>24</v>
      </c>
      <c r="F614" s="4">
        <v>3316.45</v>
      </c>
    </row>
    <row r="615" spans="1:6" ht="15" thickBot="1" x14ac:dyDescent="0.35">
      <c r="A615" s="3" t="s">
        <v>95</v>
      </c>
      <c r="B615" s="2" t="s">
        <v>30</v>
      </c>
      <c r="C615" s="2" t="s">
        <v>23</v>
      </c>
      <c r="D615" s="2" t="s">
        <v>28</v>
      </c>
      <c r="E615" s="2" t="s">
        <v>24</v>
      </c>
      <c r="F615" s="4">
        <v>1242.96</v>
      </c>
    </row>
    <row r="616" spans="1:6" ht="15" thickBot="1" x14ac:dyDescent="0.35">
      <c r="A616" s="3" t="s">
        <v>48</v>
      </c>
      <c r="B616" s="2" t="s">
        <v>19</v>
      </c>
      <c r="C616" s="2" t="s">
        <v>34</v>
      </c>
      <c r="D616" s="2" t="s">
        <v>28</v>
      </c>
      <c r="E616" s="2" t="s">
        <v>10</v>
      </c>
      <c r="F616" s="4">
        <v>3792.28</v>
      </c>
    </row>
    <row r="617" spans="1:6" ht="15" thickBot="1" x14ac:dyDescent="0.35">
      <c r="A617" s="3" t="s">
        <v>107</v>
      </c>
      <c r="B617" s="2" t="s">
        <v>30</v>
      </c>
      <c r="C617" s="2" t="s">
        <v>34</v>
      </c>
      <c r="D617" s="2" t="s">
        <v>9</v>
      </c>
      <c r="E617" s="2" t="s">
        <v>15</v>
      </c>
      <c r="F617" s="4">
        <v>4685.3057760000002</v>
      </c>
    </row>
    <row r="618" spans="1:6" ht="15" thickBot="1" x14ac:dyDescent="0.35">
      <c r="A618" s="3" t="s">
        <v>26</v>
      </c>
      <c r="B618" s="2" t="s">
        <v>17</v>
      </c>
      <c r="C618" s="2" t="s">
        <v>13</v>
      </c>
      <c r="D618" s="2" t="s">
        <v>28</v>
      </c>
      <c r="E618" s="2" t="s">
        <v>24</v>
      </c>
      <c r="F618" s="4">
        <v>2273.65</v>
      </c>
    </row>
    <row r="619" spans="1:6" ht="15" thickBot="1" x14ac:dyDescent="0.35">
      <c r="A619" s="3" t="s">
        <v>144</v>
      </c>
      <c r="B619" s="2" t="s">
        <v>30</v>
      </c>
      <c r="C619" s="2" t="s">
        <v>23</v>
      </c>
      <c r="D619" s="2" t="s">
        <v>9</v>
      </c>
      <c r="E619" s="2" t="s">
        <v>24</v>
      </c>
      <c r="F619" s="4">
        <v>3021.59</v>
      </c>
    </row>
    <row r="620" spans="1:6" ht="15" thickBot="1" x14ac:dyDescent="0.35">
      <c r="A620" s="3" t="s">
        <v>43</v>
      </c>
      <c r="B620" s="2" t="s">
        <v>17</v>
      </c>
      <c r="C620" s="2" t="s">
        <v>34</v>
      </c>
      <c r="D620" s="2" t="s">
        <v>28</v>
      </c>
      <c r="E620" s="2" t="s">
        <v>24</v>
      </c>
      <c r="F620" s="4">
        <v>1312.78</v>
      </c>
    </row>
    <row r="621" spans="1:6" ht="15" thickBot="1" x14ac:dyDescent="0.35">
      <c r="A621" s="3" t="s">
        <v>21</v>
      </c>
      <c r="B621" s="2" t="s">
        <v>19</v>
      </c>
      <c r="C621" s="2" t="s">
        <v>34</v>
      </c>
      <c r="D621" s="2" t="s">
        <v>9</v>
      </c>
      <c r="E621" s="2" t="s">
        <v>15</v>
      </c>
      <c r="F621" s="4">
        <v>1829.705449</v>
      </c>
    </row>
    <row r="622" spans="1:6" ht="15" thickBot="1" x14ac:dyDescent="0.35">
      <c r="A622" s="3" t="s">
        <v>101</v>
      </c>
      <c r="B622" s="2" t="s">
        <v>19</v>
      </c>
      <c r="C622" s="2" t="s">
        <v>34</v>
      </c>
      <c r="D622" s="2" t="s">
        <v>9</v>
      </c>
      <c r="E622" s="2" t="s">
        <v>15</v>
      </c>
      <c r="F622" s="4">
        <v>1549.717801</v>
      </c>
    </row>
    <row r="623" spans="1:6" ht="15" thickBot="1" x14ac:dyDescent="0.35">
      <c r="A623" s="3" t="s">
        <v>136</v>
      </c>
      <c r="B623" s="2" t="s">
        <v>17</v>
      </c>
      <c r="C623" s="2" t="s">
        <v>8</v>
      </c>
      <c r="D623" s="2" t="s">
        <v>28</v>
      </c>
      <c r="E623" s="2" t="s">
        <v>10</v>
      </c>
      <c r="F623" s="4">
        <v>2500.38</v>
      </c>
    </row>
    <row r="624" spans="1:6" ht="15" thickBot="1" x14ac:dyDescent="0.35">
      <c r="A624" s="3" t="s">
        <v>56</v>
      </c>
      <c r="B624" s="2" t="s">
        <v>19</v>
      </c>
      <c r="C624" s="2" t="s">
        <v>13</v>
      </c>
      <c r="D624" s="2" t="s">
        <v>28</v>
      </c>
      <c r="E624" s="2" t="s">
        <v>24</v>
      </c>
      <c r="F624" s="4">
        <v>1314.88</v>
      </c>
    </row>
    <row r="625" spans="1:6" ht="15" thickBot="1" x14ac:dyDescent="0.35">
      <c r="A625" s="3" t="s">
        <v>141</v>
      </c>
      <c r="B625" s="2" t="s">
        <v>7</v>
      </c>
      <c r="C625" s="2" t="s">
        <v>34</v>
      </c>
      <c r="D625" s="2" t="s">
        <v>28</v>
      </c>
      <c r="E625" s="2" t="s">
        <v>24</v>
      </c>
      <c r="F625" s="4">
        <v>2425.58</v>
      </c>
    </row>
    <row r="626" spans="1:6" ht="15" thickBot="1" x14ac:dyDescent="0.35">
      <c r="A626" s="3" t="s">
        <v>35</v>
      </c>
      <c r="B626" s="2" t="s">
        <v>19</v>
      </c>
      <c r="C626" s="2" t="s">
        <v>13</v>
      </c>
      <c r="D626" s="2" t="s">
        <v>14</v>
      </c>
      <c r="E626" s="2" t="s">
        <v>15</v>
      </c>
      <c r="F626" s="4">
        <v>3143.07</v>
      </c>
    </row>
    <row r="627" spans="1:6" ht="15" thickBot="1" x14ac:dyDescent="0.35">
      <c r="A627" s="3" t="s">
        <v>210</v>
      </c>
      <c r="B627" s="2" t="s">
        <v>7</v>
      </c>
      <c r="C627" s="2" t="s">
        <v>34</v>
      </c>
      <c r="D627" s="2" t="s">
        <v>28</v>
      </c>
      <c r="E627" s="2" t="s">
        <v>15</v>
      </c>
      <c r="F627" s="4">
        <v>3426.65</v>
      </c>
    </row>
    <row r="628" spans="1:6" ht="15" thickBot="1" x14ac:dyDescent="0.35">
      <c r="A628" s="3" t="s">
        <v>50</v>
      </c>
      <c r="B628" s="2" t="s">
        <v>19</v>
      </c>
      <c r="C628" s="2" t="s">
        <v>34</v>
      </c>
      <c r="D628" s="2" t="s">
        <v>9</v>
      </c>
      <c r="E628" s="2" t="s">
        <v>15</v>
      </c>
      <c r="F628" s="4">
        <v>3334.694031</v>
      </c>
    </row>
    <row r="629" spans="1:6" ht="15" thickBot="1" x14ac:dyDescent="0.35">
      <c r="A629" s="3" t="s">
        <v>103</v>
      </c>
      <c r="B629" s="2" t="s">
        <v>19</v>
      </c>
      <c r="C629" s="2" t="s">
        <v>8</v>
      </c>
      <c r="D629" s="2" t="s">
        <v>28</v>
      </c>
      <c r="E629" s="2" t="s">
        <v>24</v>
      </c>
      <c r="F629" s="4">
        <v>1554.47</v>
      </c>
    </row>
    <row r="630" spans="1:6" ht="15" thickBot="1" x14ac:dyDescent="0.35">
      <c r="A630" s="3" t="s">
        <v>163</v>
      </c>
      <c r="B630" s="2" t="s">
        <v>19</v>
      </c>
      <c r="C630" s="2" t="s">
        <v>13</v>
      </c>
      <c r="D630" s="2" t="s">
        <v>9</v>
      </c>
      <c r="E630" s="2" t="s">
        <v>24</v>
      </c>
      <c r="F630" s="4">
        <v>613.2168762</v>
      </c>
    </row>
    <row r="631" spans="1:6" ht="15" thickBot="1" x14ac:dyDescent="0.35">
      <c r="A631" s="3" t="s">
        <v>72</v>
      </c>
      <c r="B631" s="2" t="s">
        <v>19</v>
      </c>
      <c r="C631" s="2" t="s">
        <v>34</v>
      </c>
      <c r="D631" s="2" t="s">
        <v>28</v>
      </c>
      <c r="E631" s="2" t="s">
        <v>24</v>
      </c>
      <c r="F631" s="4">
        <v>2269.8200000000002</v>
      </c>
    </row>
    <row r="632" spans="1:6" ht="15" thickBot="1" x14ac:dyDescent="0.35">
      <c r="A632" s="3" t="s">
        <v>155</v>
      </c>
      <c r="B632" s="2" t="s">
        <v>7</v>
      </c>
      <c r="C632" s="2" t="s">
        <v>8</v>
      </c>
      <c r="D632" s="2" t="s">
        <v>9</v>
      </c>
      <c r="E632" s="2" t="s">
        <v>24</v>
      </c>
      <c r="F632" s="4">
        <v>1258.557671</v>
      </c>
    </row>
    <row r="633" spans="1:6" ht="15" thickBot="1" x14ac:dyDescent="0.35">
      <c r="A633" s="3" t="s">
        <v>18</v>
      </c>
      <c r="B633" s="2" t="s">
        <v>19</v>
      </c>
      <c r="C633" s="2" t="s">
        <v>8</v>
      </c>
      <c r="D633" s="2" t="s">
        <v>14</v>
      </c>
      <c r="E633" s="2" t="s">
        <v>10</v>
      </c>
      <c r="F633" s="4">
        <v>2102.71</v>
      </c>
    </row>
    <row r="634" spans="1:6" ht="15" thickBot="1" x14ac:dyDescent="0.35">
      <c r="A634" s="3" t="s">
        <v>91</v>
      </c>
      <c r="B634" s="2" t="s">
        <v>30</v>
      </c>
      <c r="C634" s="2" t="s">
        <v>13</v>
      </c>
      <c r="D634" s="2" t="s">
        <v>28</v>
      </c>
      <c r="E634" s="2" t="s">
        <v>15</v>
      </c>
      <c r="F634" s="4">
        <v>1951.99</v>
      </c>
    </row>
    <row r="635" spans="1:6" ht="15" thickBot="1" x14ac:dyDescent="0.35">
      <c r="A635" s="3" t="s">
        <v>165</v>
      </c>
      <c r="B635" s="2" t="s">
        <v>7</v>
      </c>
      <c r="C635" s="2" t="s">
        <v>8</v>
      </c>
      <c r="D635" s="2" t="s">
        <v>9</v>
      </c>
      <c r="E635" s="2" t="s">
        <v>10</v>
      </c>
      <c r="F635" s="4">
        <v>942.65605679999999</v>
      </c>
    </row>
    <row r="636" spans="1:6" ht="15" thickBot="1" x14ac:dyDescent="0.35">
      <c r="A636" s="3" t="s">
        <v>18</v>
      </c>
      <c r="B636" s="2" t="s">
        <v>19</v>
      </c>
      <c r="C636" s="2" t="s">
        <v>8</v>
      </c>
      <c r="D636" s="2" t="s">
        <v>14</v>
      </c>
      <c r="E636" s="2" t="s">
        <v>24</v>
      </c>
      <c r="F636" s="4">
        <v>4612.42</v>
      </c>
    </row>
    <row r="637" spans="1:6" ht="15" thickBot="1" x14ac:dyDescent="0.35">
      <c r="A637" s="3" t="s">
        <v>137</v>
      </c>
      <c r="B637" s="2" t="s">
        <v>17</v>
      </c>
      <c r="C637" s="2" t="s">
        <v>23</v>
      </c>
      <c r="D637" s="2" t="s">
        <v>9</v>
      </c>
      <c r="E637" s="2" t="s">
        <v>15</v>
      </c>
      <c r="F637" s="4">
        <v>5180.6869040000001</v>
      </c>
    </row>
    <row r="638" spans="1:6" ht="15" thickBot="1" x14ac:dyDescent="0.35">
      <c r="A638" s="3" t="s">
        <v>111</v>
      </c>
      <c r="B638" s="2" t="s">
        <v>19</v>
      </c>
      <c r="C638" s="2" t="s">
        <v>23</v>
      </c>
      <c r="D638" s="2" t="s">
        <v>9</v>
      </c>
      <c r="E638" s="2" t="s">
        <v>10</v>
      </c>
      <c r="F638" s="4">
        <v>3307.6824809999998</v>
      </c>
    </row>
    <row r="639" spans="1:6" ht="15" thickBot="1" x14ac:dyDescent="0.35">
      <c r="A639" s="3" t="s">
        <v>211</v>
      </c>
      <c r="B639" s="2" t="s">
        <v>7</v>
      </c>
      <c r="C639" s="2" t="s">
        <v>8</v>
      </c>
      <c r="D639" s="2" t="s">
        <v>28</v>
      </c>
      <c r="E639" s="2" t="s">
        <v>24</v>
      </c>
      <c r="F639" s="4">
        <v>4673.95</v>
      </c>
    </row>
    <row r="640" spans="1:6" ht="15" thickBot="1" x14ac:dyDescent="0.35">
      <c r="A640" s="3" t="s">
        <v>143</v>
      </c>
      <c r="B640" s="2" t="s">
        <v>17</v>
      </c>
      <c r="C640" s="2" t="s">
        <v>8</v>
      </c>
      <c r="D640" s="2" t="s">
        <v>28</v>
      </c>
      <c r="E640" s="2" t="s">
        <v>24</v>
      </c>
      <c r="F640" s="4">
        <v>2977.11</v>
      </c>
    </row>
    <row r="641" spans="1:6" ht="15" thickBot="1" x14ac:dyDescent="0.35">
      <c r="A641" s="3" t="s">
        <v>6</v>
      </c>
      <c r="B641" s="2" t="s">
        <v>7</v>
      </c>
      <c r="C641" s="2" t="s">
        <v>34</v>
      </c>
      <c r="D641" s="2" t="s">
        <v>9</v>
      </c>
      <c r="E641" s="2" t="s">
        <v>15</v>
      </c>
      <c r="F641" s="4">
        <v>2214.8565199999998</v>
      </c>
    </row>
    <row r="642" spans="1:6" ht="15" thickBot="1" x14ac:dyDescent="0.35">
      <c r="A642" s="3" t="s">
        <v>127</v>
      </c>
      <c r="B642" s="2" t="s">
        <v>17</v>
      </c>
      <c r="C642" s="2" t="s">
        <v>34</v>
      </c>
      <c r="D642" s="2" t="s">
        <v>28</v>
      </c>
      <c r="E642" s="2" t="s">
        <v>15</v>
      </c>
      <c r="F642" s="4">
        <v>2253.86</v>
      </c>
    </row>
    <row r="643" spans="1:6" ht="15" thickBot="1" x14ac:dyDescent="0.35">
      <c r="A643" s="3" t="s">
        <v>112</v>
      </c>
      <c r="B643" s="2" t="s">
        <v>30</v>
      </c>
      <c r="C643" s="2" t="s">
        <v>34</v>
      </c>
      <c r="D643" s="2" t="s">
        <v>9</v>
      </c>
      <c r="E643" s="2" t="s">
        <v>10</v>
      </c>
      <c r="F643" s="4">
        <v>2426.7211910000001</v>
      </c>
    </row>
    <row r="644" spans="1:6" ht="15" thickBot="1" x14ac:dyDescent="0.35">
      <c r="A644" s="3" t="s">
        <v>115</v>
      </c>
      <c r="B644" s="2" t="s">
        <v>19</v>
      </c>
      <c r="C644" s="2" t="s">
        <v>13</v>
      </c>
      <c r="D644" s="2" t="s">
        <v>14</v>
      </c>
      <c r="E644" s="2" t="s">
        <v>24</v>
      </c>
      <c r="F644" s="4">
        <v>2903.42</v>
      </c>
    </row>
    <row r="645" spans="1:6" ht="15" thickBot="1" x14ac:dyDescent="0.35">
      <c r="A645" s="3" t="s">
        <v>202</v>
      </c>
      <c r="B645" s="2" t="s">
        <v>12</v>
      </c>
      <c r="C645" s="2" t="s">
        <v>13</v>
      </c>
      <c r="D645" s="2" t="s">
        <v>9</v>
      </c>
      <c r="E645" s="2" t="s">
        <v>10</v>
      </c>
      <c r="F645" s="4">
        <v>3101.8439530000001</v>
      </c>
    </row>
    <row r="646" spans="1:6" ht="15" thickBot="1" x14ac:dyDescent="0.35">
      <c r="A646" s="3" t="s">
        <v>139</v>
      </c>
      <c r="B646" s="2" t="s">
        <v>7</v>
      </c>
      <c r="C646" s="2" t="s">
        <v>8</v>
      </c>
      <c r="D646" s="2" t="s">
        <v>9</v>
      </c>
      <c r="E646" s="2" t="s">
        <v>10</v>
      </c>
      <c r="F646" s="4">
        <v>3483.9279729999998</v>
      </c>
    </row>
    <row r="647" spans="1:6" ht="15" thickBot="1" x14ac:dyDescent="0.35">
      <c r="A647" s="3" t="s">
        <v>41</v>
      </c>
      <c r="B647" s="2" t="s">
        <v>30</v>
      </c>
      <c r="C647" s="2" t="s">
        <v>8</v>
      </c>
      <c r="D647" s="2" t="s">
        <v>28</v>
      </c>
      <c r="E647" s="2" t="s">
        <v>15</v>
      </c>
      <c r="F647" s="4">
        <v>4798.16</v>
      </c>
    </row>
    <row r="648" spans="1:6" ht="15" thickBot="1" x14ac:dyDescent="0.35">
      <c r="A648" s="3" t="s">
        <v>188</v>
      </c>
      <c r="B648" s="2" t="s">
        <v>19</v>
      </c>
      <c r="C648" s="2" t="s">
        <v>13</v>
      </c>
      <c r="D648" s="2" t="s">
        <v>28</v>
      </c>
      <c r="E648" s="2" t="s">
        <v>10</v>
      </c>
      <c r="F648" s="4">
        <v>2226.6</v>
      </c>
    </row>
    <row r="649" spans="1:6" ht="15" thickBot="1" x14ac:dyDescent="0.35">
      <c r="A649" s="3" t="s">
        <v>156</v>
      </c>
      <c r="B649" s="2" t="s">
        <v>17</v>
      </c>
      <c r="C649" s="2" t="s">
        <v>23</v>
      </c>
      <c r="D649" s="2" t="s">
        <v>9</v>
      </c>
      <c r="E649" s="2" t="s">
        <v>15</v>
      </c>
      <c r="F649" s="4">
        <v>2848.953849</v>
      </c>
    </row>
    <row r="650" spans="1:6" ht="15" thickBot="1" x14ac:dyDescent="0.35">
      <c r="A650" s="3" t="s">
        <v>11</v>
      </c>
      <c r="B650" s="2" t="s">
        <v>12</v>
      </c>
      <c r="C650" s="2" t="s">
        <v>8</v>
      </c>
      <c r="D650" s="2" t="s">
        <v>14</v>
      </c>
      <c r="E650" s="2" t="s">
        <v>24</v>
      </c>
      <c r="F650" s="4">
        <v>751.3</v>
      </c>
    </row>
    <row r="651" spans="1:6" ht="15" thickBot="1" x14ac:dyDescent="0.35">
      <c r="A651" s="3" t="s">
        <v>64</v>
      </c>
      <c r="B651" s="2" t="s">
        <v>30</v>
      </c>
      <c r="C651" s="2" t="s">
        <v>23</v>
      </c>
      <c r="D651" s="2" t="s">
        <v>28</v>
      </c>
      <c r="E651" s="2" t="s">
        <v>15</v>
      </c>
      <c r="F651" s="4">
        <v>3286.05</v>
      </c>
    </row>
    <row r="652" spans="1:6" ht="15" thickBot="1" x14ac:dyDescent="0.35">
      <c r="A652" s="3" t="s">
        <v>100</v>
      </c>
      <c r="B652" s="2" t="s">
        <v>7</v>
      </c>
      <c r="C652" s="2" t="s">
        <v>13</v>
      </c>
      <c r="D652" s="2" t="s">
        <v>28</v>
      </c>
      <c r="E652" s="2" t="s">
        <v>15</v>
      </c>
      <c r="F652" s="4">
        <v>1018.05</v>
      </c>
    </row>
    <row r="653" spans="1:6" ht="15" thickBot="1" x14ac:dyDescent="0.35">
      <c r="A653" s="3" t="s">
        <v>189</v>
      </c>
      <c r="B653" s="2" t="s">
        <v>19</v>
      </c>
      <c r="C653" s="2" t="s">
        <v>34</v>
      </c>
      <c r="D653" s="2" t="s">
        <v>14</v>
      </c>
      <c r="E653" s="2" t="s">
        <v>24</v>
      </c>
      <c r="F653" s="4">
        <v>2978.67</v>
      </c>
    </row>
    <row r="654" spans="1:6" ht="15" thickBot="1" x14ac:dyDescent="0.35">
      <c r="A654" s="3" t="s">
        <v>26</v>
      </c>
      <c r="B654" s="2" t="s">
        <v>17</v>
      </c>
      <c r="C654" s="2" t="s">
        <v>23</v>
      </c>
      <c r="D654" s="2" t="s">
        <v>28</v>
      </c>
      <c r="E654" s="2" t="s">
        <v>15</v>
      </c>
      <c r="F654" s="4">
        <v>1158.82</v>
      </c>
    </row>
    <row r="655" spans="1:6" ht="15" thickBot="1" x14ac:dyDescent="0.35">
      <c r="A655" s="3" t="s">
        <v>63</v>
      </c>
      <c r="B655" s="2" t="s">
        <v>12</v>
      </c>
      <c r="C655" s="2" t="s">
        <v>8</v>
      </c>
      <c r="D655" s="2" t="s">
        <v>9</v>
      </c>
      <c r="E655" s="2" t="s">
        <v>10</v>
      </c>
      <c r="F655" s="4">
        <v>4416.2129789999999</v>
      </c>
    </row>
    <row r="656" spans="1:6" ht="15" thickBot="1" x14ac:dyDescent="0.35">
      <c r="A656" s="3" t="s">
        <v>90</v>
      </c>
      <c r="B656" s="2" t="s">
        <v>19</v>
      </c>
      <c r="C656" s="2" t="s">
        <v>13</v>
      </c>
      <c r="D656" s="2" t="s">
        <v>9</v>
      </c>
      <c r="E656" s="2" t="s">
        <v>10</v>
      </c>
      <c r="F656" s="4">
        <v>1348.0319910000001</v>
      </c>
    </row>
    <row r="657" spans="1:6" ht="15" thickBot="1" x14ac:dyDescent="0.35">
      <c r="A657" s="3" t="s">
        <v>33</v>
      </c>
      <c r="B657" s="2" t="s">
        <v>19</v>
      </c>
      <c r="C657" s="2" t="s">
        <v>34</v>
      </c>
      <c r="D657" s="2" t="s">
        <v>28</v>
      </c>
      <c r="E657" s="2" t="s">
        <v>10</v>
      </c>
      <c r="F657" s="4">
        <v>2825.42</v>
      </c>
    </row>
    <row r="658" spans="1:6" ht="15" thickBot="1" x14ac:dyDescent="0.35">
      <c r="A658" s="3" t="s">
        <v>113</v>
      </c>
      <c r="B658" s="2" t="s">
        <v>30</v>
      </c>
      <c r="C658" s="2" t="s">
        <v>8</v>
      </c>
      <c r="D658" s="2" t="s">
        <v>9</v>
      </c>
      <c r="E658" s="2" t="s">
        <v>24</v>
      </c>
      <c r="F658" s="4">
        <v>4051.467787</v>
      </c>
    </row>
    <row r="659" spans="1:6" ht="15" thickBot="1" x14ac:dyDescent="0.35">
      <c r="A659" s="3" t="s">
        <v>59</v>
      </c>
      <c r="B659" s="2" t="s">
        <v>17</v>
      </c>
      <c r="C659" s="2" t="s">
        <v>34</v>
      </c>
      <c r="D659" s="2" t="s">
        <v>28</v>
      </c>
      <c r="E659" s="2" t="s">
        <v>24</v>
      </c>
      <c r="F659" s="4">
        <v>3797.37</v>
      </c>
    </row>
    <row r="660" spans="1:6" ht="15" thickBot="1" x14ac:dyDescent="0.35">
      <c r="A660" s="3" t="s">
        <v>175</v>
      </c>
      <c r="B660" s="2" t="s">
        <v>7</v>
      </c>
      <c r="C660" s="2" t="s">
        <v>34</v>
      </c>
      <c r="D660" s="2" t="s">
        <v>28</v>
      </c>
      <c r="E660" s="2" t="s">
        <v>24</v>
      </c>
      <c r="F660" s="4">
        <v>4111.7700000000004</v>
      </c>
    </row>
    <row r="661" spans="1:6" ht="15" thickBot="1" x14ac:dyDescent="0.35">
      <c r="A661" s="3" t="s">
        <v>195</v>
      </c>
      <c r="B661" s="2" t="s">
        <v>7</v>
      </c>
      <c r="C661" s="2" t="s">
        <v>34</v>
      </c>
      <c r="D661" s="2" t="s">
        <v>9</v>
      </c>
      <c r="E661" s="2" t="s">
        <v>10</v>
      </c>
      <c r="F661" s="4">
        <v>1444.1264490000001</v>
      </c>
    </row>
    <row r="662" spans="1:6" ht="15" thickBot="1" x14ac:dyDescent="0.35">
      <c r="A662" s="3" t="s">
        <v>155</v>
      </c>
      <c r="B662" s="2" t="s">
        <v>7</v>
      </c>
      <c r="C662" s="2" t="s">
        <v>13</v>
      </c>
      <c r="D662" s="2" t="s">
        <v>28</v>
      </c>
      <c r="E662" s="2" t="s">
        <v>10</v>
      </c>
      <c r="F662" s="4">
        <v>3062.42</v>
      </c>
    </row>
    <row r="663" spans="1:6" ht="15" thickBot="1" x14ac:dyDescent="0.35">
      <c r="A663" s="3" t="s">
        <v>76</v>
      </c>
      <c r="B663" s="2" t="s">
        <v>17</v>
      </c>
      <c r="C663" s="2" t="s">
        <v>34</v>
      </c>
      <c r="D663" s="2" t="s">
        <v>14</v>
      </c>
      <c r="E663" s="2" t="s">
        <v>10</v>
      </c>
      <c r="F663" s="4">
        <v>1226.9100000000001</v>
      </c>
    </row>
    <row r="664" spans="1:6" ht="15" thickBot="1" x14ac:dyDescent="0.35">
      <c r="A664" s="3" t="s">
        <v>168</v>
      </c>
      <c r="B664" s="2" t="s">
        <v>17</v>
      </c>
      <c r="C664" s="2" t="s">
        <v>13</v>
      </c>
      <c r="D664" s="2" t="s">
        <v>14</v>
      </c>
      <c r="E664" s="2" t="s">
        <v>24</v>
      </c>
      <c r="F664" s="4">
        <v>1442.19</v>
      </c>
    </row>
    <row r="665" spans="1:6" ht="15" thickBot="1" x14ac:dyDescent="0.35">
      <c r="A665" s="3" t="s">
        <v>182</v>
      </c>
      <c r="B665" s="2" t="s">
        <v>12</v>
      </c>
      <c r="C665" s="2" t="s">
        <v>13</v>
      </c>
      <c r="D665" s="2" t="s">
        <v>14</v>
      </c>
      <c r="E665" s="2" t="s">
        <v>24</v>
      </c>
      <c r="F665" s="4">
        <v>3767.87</v>
      </c>
    </row>
    <row r="666" spans="1:6" ht="15" thickBot="1" x14ac:dyDescent="0.35">
      <c r="A666" s="3" t="s">
        <v>91</v>
      </c>
      <c r="B666" s="2" t="s">
        <v>30</v>
      </c>
      <c r="C666" s="2" t="s">
        <v>23</v>
      </c>
      <c r="D666" s="2" t="s">
        <v>14</v>
      </c>
      <c r="E666" s="2" t="s">
        <v>24</v>
      </c>
      <c r="F666" s="4">
        <v>1528.64</v>
      </c>
    </row>
    <row r="667" spans="1:6" ht="15" thickBot="1" x14ac:dyDescent="0.35">
      <c r="A667" s="3" t="s">
        <v>85</v>
      </c>
      <c r="B667" s="2" t="s">
        <v>30</v>
      </c>
      <c r="C667" s="2" t="s">
        <v>23</v>
      </c>
      <c r="D667" s="2" t="s">
        <v>28</v>
      </c>
      <c r="E667" s="2" t="s">
        <v>15</v>
      </c>
      <c r="F667" s="4">
        <v>438.03</v>
      </c>
    </row>
    <row r="668" spans="1:6" ht="15" thickBot="1" x14ac:dyDescent="0.35">
      <c r="A668" s="3" t="s">
        <v>119</v>
      </c>
      <c r="B668" s="2" t="s">
        <v>30</v>
      </c>
      <c r="C668" s="2" t="s">
        <v>13</v>
      </c>
      <c r="D668" s="2" t="s">
        <v>14</v>
      </c>
      <c r="E668" s="2" t="s">
        <v>10</v>
      </c>
      <c r="F668" s="4">
        <v>2291.7800000000002</v>
      </c>
    </row>
    <row r="669" spans="1:6" ht="15" thickBot="1" x14ac:dyDescent="0.35">
      <c r="A669" s="3" t="s">
        <v>42</v>
      </c>
      <c r="B669" s="2" t="s">
        <v>30</v>
      </c>
      <c r="C669" s="2" t="s">
        <v>13</v>
      </c>
      <c r="D669" s="2" t="s">
        <v>28</v>
      </c>
      <c r="E669" s="2" t="s">
        <v>10</v>
      </c>
      <c r="F669" s="4">
        <v>4099.03</v>
      </c>
    </row>
    <row r="670" spans="1:6" ht="15" thickBot="1" x14ac:dyDescent="0.35">
      <c r="A670" s="3" t="s">
        <v>122</v>
      </c>
      <c r="B670" s="2" t="s">
        <v>19</v>
      </c>
      <c r="C670" s="2" t="s">
        <v>23</v>
      </c>
      <c r="D670" s="2" t="s">
        <v>9</v>
      </c>
      <c r="E670" s="2" t="s">
        <v>10</v>
      </c>
      <c r="F670" s="4">
        <v>2713.3180809999999</v>
      </c>
    </row>
    <row r="671" spans="1:6" ht="15" thickBot="1" x14ac:dyDescent="0.35">
      <c r="A671" s="3" t="s">
        <v>25</v>
      </c>
      <c r="B671" s="2" t="s">
        <v>19</v>
      </c>
      <c r="C671" s="2" t="s">
        <v>13</v>
      </c>
      <c r="D671" s="2" t="s">
        <v>14</v>
      </c>
      <c r="E671" s="2" t="s">
        <v>15</v>
      </c>
      <c r="F671" s="4">
        <v>769.84</v>
      </c>
    </row>
    <row r="672" spans="1:6" ht="15" thickBot="1" x14ac:dyDescent="0.35">
      <c r="A672" s="3" t="s">
        <v>100</v>
      </c>
      <c r="B672" s="2" t="s">
        <v>7</v>
      </c>
      <c r="C672" s="2" t="s">
        <v>23</v>
      </c>
      <c r="D672" s="2" t="s">
        <v>28</v>
      </c>
      <c r="E672" s="2" t="s">
        <v>10</v>
      </c>
      <c r="F672" s="4">
        <v>3217.94</v>
      </c>
    </row>
    <row r="673" spans="1:6" ht="15" thickBot="1" x14ac:dyDescent="0.35">
      <c r="A673" s="3" t="s">
        <v>179</v>
      </c>
      <c r="B673" s="2" t="s">
        <v>7</v>
      </c>
      <c r="C673" s="2" t="s">
        <v>23</v>
      </c>
      <c r="D673" s="2" t="s">
        <v>9</v>
      </c>
      <c r="E673" s="2" t="s">
        <v>15</v>
      </c>
      <c r="F673" s="4">
        <v>3817.749018</v>
      </c>
    </row>
    <row r="674" spans="1:6" ht="15" thickBot="1" x14ac:dyDescent="0.35">
      <c r="A674" s="3" t="s">
        <v>160</v>
      </c>
      <c r="B674" s="2" t="s">
        <v>30</v>
      </c>
      <c r="C674" s="2" t="s">
        <v>34</v>
      </c>
      <c r="D674" s="2" t="s">
        <v>14</v>
      </c>
      <c r="E674" s="2" t="s">
        <v>10</v>
      </c>
      <c r="F674" s="4">
        <v>3796.86</v>
      </c>
    </row>
    <row r="675" spans="1:6" ht="15" thickBot="1" x14ac:dyDescent="0.35">
      <c r="A675" s="3" t="s">
        <v>163</v>
      </c>
      <c r="B675" s="2" t="s">
        <v>19</v>
      </c>
      <c r="C675" s="2" t="s">
        <v>8</v>
      </c>
      <c r="D675" s="2" t="s">
        <v>28</v>
      </c>
      <c r="E675" s="2" t="s">
        <v>15</v>
      </c>
      <c r="F675" s="4">
        <v>1722.54</v>
      </c>
    </row>
    <row r="676" spans="1:6" ht="15" thickBot="1" x14ac:dyDescent="0.35">
      <c r="A676" s="3" t="s">
        <v>190</v>
      </c>
      <c r="B676" s="2" t="s">
        <v>17</v>
      </c>
      <c r="C676" s="2" t="s">
        <v>23</v>
      </c>
      <c r="D676" s="2" t="s">
        <v>14</v>
      </c>
      <c r="E676" s="2" t="s">
        <v>24</v>
      </c>
      <c r="F676" s="4">
        <v>2472.08</v>
      </c>
    </row>
    <row r="677" spans="1:6" ht="15" thickBot="1" x14ac:dyDescent="0.35">
      <c r="A677" s="3" t="s">
        <v>129</v>
      </c>
      <c r="B677" s="2" t="s">
        <v>17</v>
      </c>
      <c r="C677" s="2" t="s">
        <v>34</v>
      </c>
      <c r="D677" s="2" t="s">
        <v>28</v>
      </c>
      <c r="E677" s="2" t="s">
        <v>24</v>
      </c>
      <c r="F677" s="4">
        <v>3592.6</v>
      </c>
    </row>
    <row r="678" spans="1:6" ht="15" thickBot="1" x14ac:dyDescent="0.35">
      <c r="A678" s="3" t="s">
        <v>80</v>
      </c>
      <c r="B678" s="2" t="s">
        <v>17</v>
      </c>
      <c r="C678" s="2" t="s">
        <v>34</v>
      </c>
      <c r="D678" s="2" t="s">
        <v>28</v>
      </c>
      <c r="E678" s="2" t="s">
        <v>15</v>
      </c>
      <c r="F678" s="4">
        <v>4482.0600000000004</v>
      </c>
    </row>
    <row r="679" spans="1:6" ht="15" thickBot="1" x14ac:dyDescent="0.35">
      <c r="A679" s="3" t="s">
        <v>156</v>
      </c>
      <c r="B679" s="2" t="s">
        <v>17</v>
      </c>
      <c r="C679" s="2" t="s">
        <v>23</v>
      </c>
      <c r="D679" s="2" t="s">
        <v>9</v>
      </c>
      <c r="E679" s="2" t="s">
        <v>15</v>
      </c>
      <c r="F679" s="4">
        <v>3888.6305109999998</v>
      </c>
    </row>
    <row r="680" spans="1:6" ht="15" thickBot="1" x14ac:dyDescent="0.35">
      <c r="A680" s="3" t="s">
        <v>204</v>
      </c>
      <c r="B680" s="2" t="s">
        <v>30</v>
      </c>
      <c r="C680" s="2" t="s">
        <v>34</v>
      </c>
      <c r="D680" s="2" t="s">
        <v>9</v>
      </c>
      <c r="E680" s="2" t="s">
        <v>15</v>
      </c>
      <c r="F680" s="4">
        <v>1035.252371</v>
      </c>
    </row>
    <row r="681" spans="1:6" ht="15" thickBot="1" x14ac:dyDescent="0.35">
      <c r="A681" s="3" t="s">
        <v>107</v>
      </c>
      <c r="B681" s="2" t="s">
        <v>30</v>
      </c>
      <c r="C681" s="2" t="s">
        <v>34</v>
      </c>
      <c r="D681" s="2" t="s">
        <v>14</v>
      </c>
      <c r="E681" s="2" t="s">
        <v>15</v>
      </c>
      <c r="F681" s="4">
        <v>93.17</v>
      </c>
    </row>
    <row r="682" spans="1:6" ht="15" thickBot="1" x14ac:dyDescent="0.35">
      <c r="A682" s="3" t="s">
        <v>64</v>
      </c>
      <c r="B682" s="2" t="s">
        <v>30</v>
      </c>
      <c r="C682" s="2" t="s">
        <v>8</v>
      </c>
      <c r="D682" s="2" t="s">
        <v>14</v>
      </c>
      <c r="E682" s="2" t="s">
        <v>15</v>
      </c>
      <c r="F682" s="4">
        <v>489.88</v>
      </c>
    </row>
    <row r="683" spans="1:6" ht="15" thickBot="1" x14ac:dyDescent="0.35">
      <c r="A683" s="3" t="s">
        <v>42</v>
      </c>
      <c r="B683" s="2" t="s">
        <v>30</v>
      </c>
      <c r="C683" s="2" t="s">
        <v>8</v>
      </c>
      <c r="D683" s="2" t="s">
        <v>28</v>
      </c>
      <c r="E683" s="2" t="s">
        <v>24</v>
      </c>
      <c r="F683" s="4">
        <v>627.29999999999995</v>
      </c>
    </row>
    <row r="684" spans="1:6" ht="15" thickBot="1" x14ac:dyDescent="0.35">
      <c r="A684" s="3" t="s">
        <v>169</v>
      </c>
      <c r="B684" s="2" t="s">
        <v>12</v>
      </c>
      <c r="C684" s="2" t="s">
        <v>23</v>
      </c>
      <c r="D684" s="2" t="s">
        <v>28</v>
      </c>
      <c r="E684" s="2" t="s">
        <v>24</v>
      </c>
      <c r="F684" s="4">
        <v>4443.8500000000004</v>
      </c>
    </row>
    <row r="685" spans="1:6" ht="15" thickBot="1" x14ac:dyDescent="0.35">
      <c r="A685" s="3" t="s">
        <v>188</v>
      </c>
      <c r="B685" s="2" t="s">
        <v>19</v>
      </c>
      <c r="C685" s="2" t="s">
        <v>8</v>
      </c>
      <c r="D685" s="2" t="s">
        <v>14</v>
      </c>
      <c r="E685" s="2" t="s">
        <v>15</v>
      </c>
      <c r="F685" s="4">
        <v>2192.52</v>
      </c>
    </row>
    <row r="686" spans="1:6" ht="15" thickBot="1" x14ac:dyDescent="0.35">
      <c r="A686" s="3" t="s">
        <v>35</v>
      </c>
      <c r="B686" s="2" t="s">
        <v>19</v>
      </c>
      <c r="C686" s="2" t="s">
        <v>34</v>
      </c>
      <c r="D686" s="2" t="s">
        <v>9</v>
      </c>
      <c r="E686" s="2" t="s">
        <v>15</v>
      </c>
      <c r="F686" s="4">
        <v>1166.7681070000001</v>
      </c>
    </row>
    <row r="687" spans="1:6" ht="15" thickBot="1" x14ac:dyDescent="0.35">
      <c r="A687" s="3" t="s">
        <v>156</v>
      </c>
      <c r="B687" s="2" t="s">
        <v>17</v>
      </c>
      <c r="C687" s="2" t="s">
        <v>8</v>
      </c>
      <c r="D687" s="2" t="s">
        <v>9</v>
      </c>
      <c r="E687" s="2" t="s">
        <v>10</v>
      </c>
      <c r="F687" s="4">
        <v>3803.9616740000001</v>
      </c>
    </row>
    <row r="688" spans="1:6" ht="15" thickBot="1" x14ac:dyDescent="0.35">
      <c r="A688" s="3" t="s">
        <v>48</v>
      </c>
      <c r="B688" s="2" t="s">
        <v>19</v>
      </c>
      <c r="C688" s="2" t="s">
        <v>8</v>
      </c>
      <c r="D688" s="2" t="s">
        <v>14</v>
      </c>
      <c r="E688" s="2" t="s">
        <v>24</v>
      </c>
      <c r="F688" s="4">
        <v>4902.53</v>
      </c>
    </row>
    <row r="689" spans="1:6" ht="15" thickBot="1" x14ac:dyDescent="0.35">
      <c r="A689" s="3" t="s">
        <v>193</v>
      </c>
      <c r="B689" s="2" t="s">
        <v>12</v>
      </c>
      <c r="C689" s="2" t="s">
        <v>23</v>
      </c>
      <c r="D689" s="2" t="s">
        <v>28</v>
      </c>
      <c r="E689" s="2" t="s">
        <v>24</v>
      </c>
      <c r="F689" s="4">
        <v>1144.49</v>
      </c>
    </row>
    <row r="690" spans="1:6" ht="15" thickBot="1" x14ac:dyDescent="0.35">
      <c r="A690" s="3" t="s">
        <v>67</v>
      </c>
      <c r="B690" s="2" t="s">
        <v>7</v>
      </c>
      <c r="C690" s="2" t="s">
        <v>13</v>
      </c>
      <c r="D690" s="2" t="s">
        <v>9</v>
      </c>
      <c r="E690" s="2" t="s">
        <v>15</v>
      </c>
      <c r="F690" s="4">
        <v>4243.1099999999997</v>
      </c>
    </row>
    <row r="691" spans="1:6" ht="15" thickBot="1" x14ac:dyDescent="0.35">
      <c r="A691" s="3" t="s">
        <v>22</v>
      </c>
      <c r="B691" s="2" t="s">
        <v>12</v>
      </c>
      <c r="C691" s="2" t="s">
        <v>8</v>
      </c>
      <c r="D691" s="2" t="s">
        <v>28</v>
      </c>
      <c r="E691" s="2" t="s">
        <v>24</v>
      </c>
      <c r="F691" s="4">
        <v>2303.31</v>
      </c>
    </row>
    <row r="692" spans="1:6" ht="15" thickBot="1" x14ac:dyDescent="0.35">
      <c r="A692" s="3" t="s">
        <v>95</v>
      </c>
      <c r="B692" s="2" t="s">
        <v>30</v>
      </c>
      <c r="C692" s="2" t="s">
        <v>23</v>
      </c>
      <c r="D692" s="2" t="s">
        <v>14</v>
      </c>
      <c r="E692" s="2" t="s">
        <v>10</v>
      </c>
      <c r="F692" s="4">
        <v>3192.9</v>
      </c>
    </row>
    <row r="693" spans="1:6" ht="15" thickBot="1" x14ac:dyDescent="0.35">
      <c r="A693" s="3" t="s">
        <v>71</v>
      </c>
      <c r="B693" s="2" t="s">
        <v>7</v>
      </c>
      <c r="C693" s="2" t="s">
        <v>13</v>
      </c>
      <c r="D693" s="2" t="s">
        <v>28</v>
      </c>
      <c r="E693" s="2" t="s">
        <v>15</v>
      </c>
      <c r="F693" s="4">
        <v>3601.52</v>
      </c>
    </row>
    <row r="694" spans="1:6" ht="15" thickBot="1" x14ac:dyDescent="0.35">
      <c r="A694" s="3" t="s">
        <v>95</v>
      </c>
      <c r="B694" s="2" t="s">
        <v>30</v>
      </c>
      <c r="C694" s="2" t="s">
        <v>13</v>
      </c>
      <c r="D694" s="2" t="s">
        <v>14</v>
      </c>
      <c r="E694" s="2" t="s">
        <v>15</v>
      </c>
      <c r="F694" s="4">
        <v>4964.3100000000004</v>
      </c>
    </row>
    <row r="695" spans="1:6" ht="15" thickBot="1" x14ac:dyDescent="0.35">
      <c r="A695" s="3" t="s">
        <v>59</v>
      </c>
      <c r="B695" s="2" t="s">
        <v>17</v>
      </c>
      <c r="C695" s="2" t="s">
        <v>23</v>
      </c>
      <c r="D695" s="2" t="s">
        <v>14</v>
      </c>
      <c r="E695" s="2" t="s">
        <v>15</v>
      </c>
      <c r="F695" s="4">
        <v>2143.7399999999998</v>
      </c>
    </row>
    <row r="696" spans="1:6" ht="15" thickBot="1" x14ac:dyDescent="0.35">
      <c r="A696" s="3" t="s">
        <v>164</v>
      </c>
      <c r="B696" s="2" t="s">
        <v>19</v>
      </c>
      <c r="C696" s="2" t="s">
        <v>13</v>
      </c>
      <c r="D696" s="2" t="s">
        <v>14</v>
      </c>
      <c r="E696" s="2" t="s">
        <v>15</v>
      </c>
      <c r="F696" s="4">
        <v>563.55999999999995</v>
      </c>
    </row>
    <row r="697" spans="1:6" ht="15" thickBot="1" x14ac:dyDescent="0.35">
      <c r="A697" s="3" t="s">
        <v>95</v>
      </c>
      <c r="B697" s="2" t="s">
        <v>30</v>
      </c>
      <c r="C697" s="2" t="s">
        <v>13</v>
      </c>
      <c r="D697" s="2" t="s">
        <v>9</v>
      </c>
      <c r="E697" s="2" t="s">
        <v>15</v>
      </c>
      <c r="F697" s="4">
        <v>1541.8649820000001</v>
      </c>
    </row>
    <row r="698" spans="1:6" ht="15" thickBot="1" x14ac:dyDescent="0.35">
      <c r="A698" s="3" t="s">
        <v>46</v>
      </c>
      <c r="B698" s="2" t="s">
        <v>30</v>
      </c>
      <c r="C698" s="2" t="s">
        <v>23</v>
      </c>
      <c r="D698" s="2" t="s">
        <v>14</v>
      </c>
      <c r="E698" s="2" t="s">
        <v>10</v>
      </c>
      <c r="F698" s="4">
        <v>2191.88</v>
      </c>
    </row>
    <row r="699" spans="1:6" ht="15" thickBot="1" x14ac:dyDescent="0.35">
      <c r="A699" s="3" t="s">
        <v>45</v>
      </c>
      <c r="B699" s="2" t="s">
        <v>7</v>
      </c>
      <c r="C699" s="2" t="s">
        <v>34</v>
      </c>
      <c r="D699" s="2" t="s">
        <v>28</v>
      </c>
      <c r="E699" s="2" t="s">
        <v>15</v>
      </c>
      <c r="F699" s="4">
        <v>4804.76</v>
      </c>
    </row>
    <row r="700" spans="1:6" ht="15" thickBot="1" x14ac:dyDescent="0.35">
      <c r="A700" s="3" t="s">
        <v>212</v>
      </c>
      <c r="B700" s="2" t="s">
        <v>7</v>
      </c>
      <c r="C700" s="2" t="s">
        <v>13</v>
      </c>
      <c r="D700" s="2" t="s">
        <v>14</v>
      </c>
      <c r="E700" s="2" t="s">
        <v>10</v>
      </c>
      <c r="F700" s="4">
        <v>4966.99</v>
      </c>
    </row>
    <row r="701" spans="1:6" ht="15" thickBot="1" x14ac:dyDescent="0.35">
      <c r="A701" s="3" t="s">
        <v>99</v>
      </c>
      <c r="B701" s="2" t="s">
        <v>19</v>
      </c>
      <c r="C701" s="2" t="s">
        <v>8</v>
      </c>
      <c r="D701" s="2" t="s">
        <v>28</v>
      </c>
      <c r="E701" s="2" t="s">
        <v>15</v>
      </c>
      <c r="F701" s="4">
        <v>2346.08</v>
      </c>
    </row>
    <row r="702" spans="1:6" ht="15" thickBot="1" x14ac:dyDescent="0.35">
      <c r="A702" s="3" t="s">
        <v>140</v>
      </c>
      <c r="B702" s="2" t="s">
        <v>17</v>
      </c>
      <c r="C702" s="2" t="s">
        <v>34</v>
      </c>
      <c r="D702" s="2" t="s">
        <v>28</v>
      </c>
      <c r="E702" s="2" t="s">
        <v>15</v>
      </c>
      <c r="F702" s="4">
        <v>278.14</v>
      </c>
    </row>
    <row r="703" spans="1:6" ht="15" thickBot="1" x14ac:dyDescent="0.35">
      <c r="A703" s="3" t="s">
        <v>111</v>
      </c>
      <c r="B703" s="2" t="s">
        <v>19</v>
      </c>
      <c r="C703" s="2" t="s">
        <v>34</v>
      </c>
      <c r="D703" s="2" t="s">
        <v>28</v>
      </c>
      <c r="E703" s="2" t="s">
        <v>10</v>
      </c>
      <c r="F703" s="4">
        <v>3551.91</v>
      </c>
    </row>
    <row r="704" spans="1:6" ht="15" thickBot="1" x14ac:dyDescent="0.35">
      <c r="A704" s="3" t="s">
        <v>119</v>
      </c>
      <c r="B704" s="2" t="s">
        <v>30</v>
      </c>
      <c r="C704" s="2" t="s">
        <v>34</v>
      </c>
      <c r="D704" s="2" t="s">
        <v>28</v>
      </c>
      <c r="E704" s="2" t="s">
        <v>10</v>
      </c>
      <c r="F704" s="4">
        <v>3834.95</v>
      </c>
    </row>
    <row r="705" spans="1:6" ht="15" thickBot="1" x14ac:dyDescent="0.35">
      <c r="A705" s="3" t="s">
        <v>22</v>
      </c>
      <c r="B705" s="2" t="s">
        <v>12</v>
      </c>
      <c r="C705" s="2" t="s">
        <v>13</v>
      </c>
      <c r="D705" s="2" t="s">
        <v>14</v>
      </c>
      <c r="E705" s="2" t="s">
        <v>10</v>
      </c>
      <c r="F705" s="4">
        <v>4076.77</v>
      </c>
    </row>
    <row r="706" spans="1:6" ht="15" thickBot="1" x14ac:dyDescent="0.35">
      <c r="A706" s="3" t="s">
        <v>101</v>
      </c>
      <c r="B706" s="2" t="s">
        <v>19</v>
      </c>
      <c r="C706" s="2" t="s">
        <v>13</v>
      </c>
      <c r="D706" s="2" t="s">
        <v>14</v>
      </c>
      <c r="E706" s="2" t="s">
        <v>15</v>
      </c>
      <c r="F706" s="4">
        <v>1402.07</v>
      </c>
    </row>
    <row r="707" spans="1:6" ht="15" thickBot="1" x14ac:dyDescent="0.35">
      <c r="A707" s="3" t="s">
        <v>93</v>
      </c>
      <c r="B707" s="2" t="s">
        <v>30</v>
      </c>
      <c r="C707" s="2" t="s">
        <v>8</v>
      </c>
      <c r="D707" s="2" t="s">
        <v>14</v>
      </c>
      <c r="E707" s="2" t="s">
        <v>15</v>
      </c>
      <c r="F707" s="4">
        <v>2817.03</v>
      </c>
    </row>
    <row r="708" spans="1:6" ht="15" thickBot="1" x14ac:dyDescent="0.35">
      <c r="A708" s="3" t="s">
        <v>94</v>
      </c>
      <c r="B708" s="2" t="s">
        <v>7</v>
      </c>
      <c r="C708" s="2" t="s">
        <v>34</v>
      </c>
      <c r="D708" s="2" t="s">
        <v>14</v>
      </c>
      <c r="E708" s="2" t="s">
        <v>24</v>
      </c>
      <c r="F708" s="4">
        <v>4610.1499999999996</v>
      </c>
    </row>
    <row r="709" spans="1:6" ht="15" thickBot="1" x14ac:dyDescent="0.35">
      <c r="A709" s="3" t="s">
        <v>191</v>
      </c>
      <c r="B709" s="2" t="s">
        <v>12</v>
      </c>
      <c r="C709" s="2" t="s">
        <v>23</v>
      </c>
      <c r="D709" s="2" t="s">
        <v>9</v>
      </c>
      <c r="E709" s="2" t="s">
        <v>24</v>
      </c>
      <c r="F709" s="4">
        <v>1197.675115</v>
      </c>
    </row>
    <row r="710" spans="1:6" ht="15" thickBot="1" x14ac:dyDescent="0.35">
      <c r="A710" s="3" t="s">
        <v>80</v>
      </c>
      <c r="B710" s="2" t="s">
        <v>17</v>
      </c>
      <c r="C710" s="2" t="s">
        <v>23</v>
      </c>
      <c r="D710" s="2" t="s">
        <v>14</v>
      </c>
      <c r="E710" s="2" t="s">
        <v>24</v>
      </c>
      <c r="F710" s="4">
        <v>2154.8200000000002</v>
      </c>
    </row>
    <row r="711" spans="1:6" ht="15" thickBot="1" x14ac:dyDescent="0.35">
      <c r="A711" s="3" t="s">
        <v>71</v>
      </c>
      <c r="B711" s="2" t="s">
        <v>7</v>
      </c>
      <c r="C711" s="2" t="s">
        <v>23</v>
      </c>
      <c r="D711" s="2" t="s">
        <v>28</v>
      </c>
      <c r="E711" s="2" t="s">
        <v>15</v>
      </c>
      <c r="F711" s="4">
        <v>1398.72</v>
      </c>
    </row>
    <row r="712" spans="1:6" ht="15" thickBot="1" x14ac:dyDescent="0.35">
      <c r="A712" s="3" t="s">
        <v>18</v>
      </c>
      <c r="B712" s="2" t="s">
        <v>19</v>
      </c>
      <c r="C712" s="2" t="s">
        <v>23</v>
      </c>
      <c r="D712" s="2" t="s">
        <v>14</v>
      </c>
      <c r="E712" s="2" t="s">
        <v>15</v>
      </c>
      <c r="F712" s="4">
        <v>2433.64</v>
      </c>
    </row>
    <row r="713" spans="1:6" ht="15" thickBot="1" x14ac:dyDescent="0.35">
      <c r="A713" s="3" t="s">
        <v>52</v>
      </c>
      <c r="B713" s="2" t="s">
        <v>19</v>
      </c>
      <c r="C713" s="2" t="s">
        <v>23</v>
      </c>
      <c r="D713" s="2" t="s">
        <v>14</v>
      </c>
      <c r="E713" s="2" t="s">
        <v>10</v>
      </c>
      <c r="F713" s="4">
        <v>1785.88</v>
      </c>
    </row>
    <row r="714" spans="1:6" ht="15" thickBot="1" x14ac:dyDescent="0.35">
      <c r="A714" s="3" t="s">
        <v>65</v>
      </c>
      <c r="B714" s="2" t="s">
        <v>30</v>
      </c>
      <c r="C714" s="2" t="s">
        <v>8</v>
      </c>
      <c r="D714" s="2" t="s">
        <v>9</v>
      </c>
      <c r="E714" s="2" t="s">
        <v>10</v>
      </c>
      <c r="F714" s="4">
        <v>4694.8763879999997</v>
      </c>
    </row>
    <row r="715" spans="1:6" ht="15" thickBot="1" x14ac:dyDescent="0.35">
      <c r="A715" s="3" t="s">
        <v>71</v>
      </c>
      <c r="B715" s="2" t="s">
        <v>7</v>
      </c>
      <c r="C715" s="2" t="s">
        <v>8</v>
      </c>
      <c r="D715" s="2" t="s">
        <v>14</v>
      </c>
      <c r="E715" s="2" t="s">
        <v>10</v>
      </c>
      <c r="F715" s="4">
        <v>3069.11</v>
      </c>
    </row>
    <row r="716" spans="1:6" ht="15" thickBot="1" x14ac:dyDescent="0.35">
      <c r="A716" s="3" t="s">
        <v>196</v>
      </c>
      <c r="B716" s="2" t="s">
        <v>30</v>
      </c>
      <c r="C716" s="2" t="s">
        <v>13</v>
      </c>
      <c r="D716" s="2" t="s">
        <v>14</v>
      </c>
      <c r="E716" s="2" t="s">
        <v>15</v>
      </c>
      <c r="F716" s="4">
        <v>2819.92</v>
      </c>
    </row>
    <row r="717" spans="1:6" ht="15" thickBot="1" x14ac:dyDescent="0.35">
      <c r="A717" s="3" t="s">
        <v>95</v>
      </c>
      <c r="B717" s="2" t="s">
        <v>30</v>
      </c>
      <c r="C717" s="2" t="s">
        <v>13</v>
      </c>
      <c r="D717" s="2" t="s">
        <v>28</v>
      </c>
      <c r="E717" s="2" t="s">
        <v>24</v>
      </c>
      <c r="F717" s="4">
        <v>1772.23</v>
      </c>
    </row>
    <row r="718" spans="1:6" ht="15" thickBot="1" x14ac:dyDescent="0.35">
      <c r="A718" s="3" t="s">
        <v>57</v>
      </c>
      <c r="B718" s="2" t="s">
        <v>19</v>
      </c>
      <c r="C718" s="2" t="s">
        <v>8</v>
      </c>
      <c r="D718" s="2" t="s">
        <v>14</v>
      </c>
      <c r="E718" s="2" t="s">
        <v>24</v>
      </c>
      <c r="F718" s="4">
        <v>2502.25</v>
      </c>
    </row>
    <row r="719" spans="1:6" ht="15" thickBot="1" x14ac:dyDescent="0.35">
      <c r="A719" s="3" t="s">
        <v>74</v>
      </c>
      <c r="B719" s="2" t="s">
        <v>19</v>
      </c>
      <c r="C719" s="2" t="s">
        <v>8</v>
      </c>
      <c r="D719" s="2" t="s">
        <v>9</v>
      </c>
      <c r="E719" s="2" t="s">
        <v>15</v>
      </c>
      <c r="F719" s="4">
        <v>3851.934953</v>
      </c>
    </row>
    <row r="720" spans="1:6" ht="15" thickBot="1" x14ac:dyDescent="0.35">
      <c r="A720" s="3" t="s">
        <v>114</v>
      </c>
      <c r="B720" s="2" t="s">
        <v>30</v>
      </c>
      <c r="C720" s="2" t="s">
        <v>13</v>
      </c>
      <c r="D720" s="2" t="s">
        <v>28</v>
      </c>
      <c r="E720" s="2" t="s">
        <v>24</v>
      </c>
      <c r="F720" s="4">
        <v>3031.48</v>
      </c>
    </row>
    <row r="721" spans="1:6" ht="15" thickBot="1" x14ac:dyDescent="0.35">
      <c r="A721" s="3" t="s">
        <v>78</v>
      </c>
      <c r="B721" s="2" t="s">
        <v>7</v>
      </c>
      <c r="C721" s="2" t="s">
        <v>23</v>
      </c>
      <c r="D721" s="2" t="s">
        <v>9</v>
      </c>
      <c r="E721" s="2" t="s">
        <v>24</v>
      </c>
      <c r="F721" s="4">
        <v>601.62</v>
      </c>
    </row>
    <row r="722" spans="1:6" ht="15" thickBot="1" x14ac:dyDescent="0.35">
      <c r="A722" s="3" t="s">
        <v>73</v>
      </c>
      <c r="B722" s="2" t="s">
        <v>30</v>
      </c>
      <c r="C722" s="2" t="s">
        <v>8</v>
      </c>
      <c r="D722" s="2" t="s">
        <v>28</v>
      </c>
      <c r="E722" s="2" t="s">
        <v>24</v>
      </c>
      <c r="F722" s="4">
        <v>2060.17</v>
      </c>
    </row>
    <row r="723" spans="1:6" ht="15" thickBot="1" x14ac:dyDescent="0.35">
      <c r="A723" s="3" t="s">
        <v>99</v>
      </c>
      <c r="B723" s="2" t="s">
        <v>19</v>
      </c>
      <c r="C723" s="2" t="s">
        <v>13</v>
      </c>
      <c r="D723" s="2" t="s">
        <v>28</v>
      </c>
      <c r="E723" s="2" t="s">
        <v>10</v>
      </c>
      <c r="F723" s="4">
        <v>2452.0300000000002</v>
      </c>
    </row>
    <row r="724" spans="1:6" ht="15" thickBot="1" x14ac:dyDescent="0.35">
      <c r="A724" s="3" t="s">
        <v>56</v>
      </c>
      <c r="B724" s="2" t="s">
        <v>19</v>
      </c>
      <c r="C724" s="2" t="s">
        <v>8</v>
      </c>
      <c r="D724" s="2" t="s">
        <v>28</v>
      </c>
      <c r="E724" s="2" t="s">
        <v>10</v>
      </c>
      <c r="F724" s="4">
        <v>1782.21</v>
      </c>
    </row>
    <row r="725" spans="1:6" ht="15" thickBot="1" x14ac:dyDescent="0.35">
      <c r="A725" s="3" t="s">
        <v>123</v>
      </c>
      <c r="B725" s="2" t="s">
        <v>30</v>
      </c>
      <c r="C725" s="2" t="s">
        <v>23</v>
      </c>
      <c r="D725" s="2" t="s">
        <v>9</v>
      </c>
      <c r="E725" s="2" t="s">
        <v>15</v>
      </c>
      <c r="F725" s="4">
        <v>103.31</v>
      </c>
    </row>
    <row r="726" spans="1:6" ht="15" thickBot="1" x14ac:dyDescent="0.35">
      <c r="A726" s="3" t="s">
        <v>171</v>
      </c>
      <c r="B726" s="2" t="s">
        <v>17</v>
      </c>
      <c r="C726" s="2" t="s">
        <v>13</v>
      </c>
      <c r="D726" s="2" t="s">
        <v>14</v>
      </c>
      <c r="E726" s="2" t="s">
        <v>15</v>
      </c>
      <c r="F726" s="4">
        <v>3568.05</v>
      </c>
    </row>
    <row r="727" spans="1:6" ht="15" thickBot="1" x14ac:dyDescent="0.35">
      <c r="A727" s="3" t="s">
        <v>67</v>
      </c>
      <c r="B727" s="2" t="s">
        <v>7</v>
      </c>
      <c r="C727" s="2" t="s">
        <v>23</v>
      </c>
      <c r="D727" s="2" t="s">
        <v>9</v>
      </c>
      <c r="E727" s="2" t="s">
        <v>15</v>
      </c>
      <c r="F727" s="4">
        <v>2290.64</v>
      </c>
    </row>
    <row r="728" spans="1:6" ht="15" thickBot="1" x14ac:dyDescent="0.35">
      <c r="A728" s="3" t="s">
        <v>105</v>
      </c>
      <c r="B728" s="2" t="s">
        <v>30</v>
      </c>
      <c r="C728" s="2" t="s">
        <v>23</v>
      </c>
      <c r="D728" s="2" t="s">
        <v>14</v>
      </c>
      <c r="E728" s="2" t="s">
        <v>24</v>
      </c>
      <c r="F728" s="4">
        <v>4937.24</v>
      </c>
    </row>
    <row r="729" spans="1:6" ht="15" thickBot="1" x14ac:dyDescent="0.35">
      <c r="A729" s="3" t="s">
        <v>150</v>
      </c>
      <c r="B729" s="2" t="s">
        <v>30</v>
      </c>
      <c r="C729" s="2" t="s">
        <v>23</v>
      </c>
      <c r="D729" s="2" t="s">
        <v>9</v>
      </c>
      <c r="E729" s="2" t="s">
        <v>15</v>
      </c>
      <c r="F729" s="4">
        <v>1728.8069439999999</v>
      </c>
    </row>
    <row r="730" spans="1:6" ht="15" thickBot="1" x14ac:dyDescent="0.35">
      <c r="A730" s="3" t="s">
        <v>213</v>
      </c>
      <c r="B730" s="2" t="s">
        <v>12</v>
      </c>
      <c r="C730" s="2" t="s">
        <v>13</v>
      </c>
      <c r="D730" s="2" t="s">
        <v>14</v>
      </c>
      <c r="E730" s="2" t="s">
        <v>10</v>
      </c>
      <c r="F730" s="4">
        <v>372.7</v>
      </c>
    </row>
    <row r="731" spans="1:6" ht="15" thickBot="1" x14ac:dyDescent="0.35">
      <c r="A731" s="3" t="s">
        <v>80</v>
      </c>
      <c r="B731" s="2" t="s">
        <v>17</v>
      </c>
      <c r="C731" s="2" t="s">
        <v>8</v>
      </c>
      <c r="D731" s="2" t="s">
        <v>14</v>
      </c>
      <c r="E731" s="2" t="s">
        <v>24</v>
      </c>
      <c r="F731" s="4">
        <v>3677.7</v>
      </c>
    </row>
    <row r="732" spans="1:6" ht="15" thickBot="1" x14ac:dyDescent="0.35">
      <c r="A732" s="3" t="s">
        <v>20</v>
      </c>
      <c r="B732" s="2" t="s">
        <v>17</v>
      </c>
      <c r="C732" s="2" t="s">
        <v>34</v>
      </c>
      <c r="D732" s="2" t="s">
        <v>28</v>
      </c>
      <c r="E732" s="2" t="s">
        <v>10</v>
      </c>
      <c r="F732" s="4">
        <v>2576.7800000000002</v>
      </c>
    </row>
    <row r="733" spans="1:6" ht="15" thickBot="1" x14ac:dyDescent="0.35">
      <c r="A733" s="3" t="s">
        <v>111</v>
      </c>
      <c r="B733" s="2" t="s">
        <v>19</v>
      </c>
      <c r="C733" s="2" t="s">
        <v>8</v>
      </c>
      <c r="D733" s="2" t="s">
        <v>28</v>
      </c>
      <c r="E733" s="2" t="s">
        <v>10</v>
      </c>
      <c r="F733" s="4">
        <v>2972.77</v>
      </c>
    </row>
    <row r="734" spans="1:6" ht="15" thickBot="1" x14ac:dyDescent="0.35">
      <c r="A734" s="3" t="s">
        <v>87</v>
      </c>
      <c r="B734" s="2" t="s">
        <v>12</v>
      </c>
      <c r="C734" s="2" t="s">
        <v>23</v>
      </c>
      <c r="D734" s="2" t="s">
        <v>28</v>
      </c>
      <c r="E734" s="2" t="s">
        <v>24</v>
      </c>
      <c r="F734" s="4">
        <v>3995.86</v>
      </c>
    </row>
    <row r="735" spans="1:6" ht="15" thickBot="1" x14ac:dyDescent="0.35">
      <c r="A735" s="3" t="s">
        <v>84</v>
      </c>
      <c r="B735" s="2" t="s">
        <v>30</v>
      </c>
      <c r="C735" s="2" t="s">
        <v>13</v>
      </c>
      <c r="D735" s="2" t="s">
        <v>14</v>
      </c>
      <c r="E735" s="2" t="s">
        <v>15</v>
      </c>
      <c r="F735" s="4">
        <v>2798.95</v>
      </c>
    </row>
    <row r="736" spans="1:6" ht="15" thickBot="1" x14ac:dyDescent="0.35">
      <c r="A736" s="3" t="s">
        <v>36</v>
      </c>
      <c r="B736" s="2" t="s">
        <v>12</v>
      </c>
      <c r="C736" s="2" t="s">
        <v>8</v>
      </c>
      <c r="D736" s="2" t="s">
        <v>28</v>
      </c>
      <c r="E736" s="2" t="s">
        <v>15</v>
      </c>
      <c r="F736" s="4">
        <v>204.44</v>
      </c>
    </row>
    <row r="737" spans="1:6" ht="15" thickBot="1" x14ac:dyDescent="0.35">
      <c r="A737" s="3" t="s">
        <v>179</v>
      </c>
      <c r="B737" s="2" t="s">
        <v>7</v>
      </c>
      <c r="C737" s="2" t="s">
        <v>8</v>
      </c>
      <c r="D737" s="2" t="s">
        <v>14</v>
      </c>
      <c r="E737" s="2" t="s">
        <v>15</v>
      </c>
      <c r="F737" s="4">
        <v>2646.82</v>
      </c>
    </row>
    <row r="738" spans="1:6" ht="15" thickBot="1" x14ac:dyDescent="0.35">
      <c r="A738" s="3" t="s">
        <v>50</v>
      </c>
      <c r="B738" s="2" t="s">
        <v>19</v>
      </c>
      <c r="C738" s="2" t="s">
        <v>13</v>
      </c>
      <c r="D738" s="2" t="s">
        <v>14</v>
      </c>
      <c r="E738" s="2" t="s">
        <v>15</v>
      </c>
      <c r="F738" s="4">
        <v>2960.39</v>
      </c>
    </row>
    <row r="739" spans="1:6" ht="15" thickBot="1" x14ac:dyDescent="0.35">
      <c r="A739" s="3" t="s">
        <v>78</v>
      </c>
      <c r="B739" s="2" t="s">
        <v>7</v>
      </c>
      <c r="C739" s="2" t="s">
        <v>13</v>
      </c>
      <c r="D739" s="2" t="s">
        <v>14</v>
      </c>
      <c r="E739" s="2" t="s">
        <v>24</v>
      </c>
      <c r="F739" s="4">
        <v>1696.88</v>
      </c>
    </row>
    <row r="740" spans="1:6" ht="15" thickBot="1" x14ac:dyDescent="0.35">
      <c r="A740" s="3" t="s">
        <v>214</v>
      </c>
      <c r="B740" s="2" t="s">
        <v>30</v>
      </c>
      <c r="C740" s="2" t="s">
        <v>13</v>
      </c>
      <c r="D740" s="2" t="s">
        <v>9</v>
      </c>
      <c r="E740" s="2" t="s">
        <v>24</v>
      </c>
      <c r="F740" s="4">
        <v>622.99567999999999</v>
      </c>
    </row>
    <row r="741" spans="1:6" ht="15" thickBot="1" x14ac:dyDescent="0.35">
      <c r="A741" s="3" t="s">
        <v>128</v>
      </c>
      <c r="B741" s="2" t="s">
        <v>12</v>
      </c>
      <c r="C741" s="2" t="s">
        <v>23</v>
      </c>
      <c r="D741" s="2" t="s">
        <v>14</v>
      </c>
      <c r="E741" s="2" t="s">
        <v>24</v>
      </c>
      <c r="F741" s="4">
        <v>1684.41</v>
      </c>
    </row>
    <row r="742" spans="1:6" ht="15" thickBot="1" x14ac:dyDescent="0.35">
      <c r="A742" s="3" t="s">
        <v>68</v>
      </c>
      <c r="B742" s="2" t="s">
        <v>12</v>
      </c>
      <c r="C742" s="2" t="s">
        <v>34</v>
      </c>
      <c r="D742" s="2" t="s">
        <v>14</v>
      </c>
      <c r="E742" s="2" t="s">
        <v>24</v>
      </c>
      <c r="F742" s="4">
        <v>3307.16</v>
      </c>
    </row>
    <row r="743" spans="1:6" ht="15" thickBot="1" x14ac:dyDescent="0.35">
      <c r="A743" s="3" t="s">
        <v>38</v>
      </c>
      <c r="B743" s="2" t="s">
        <v>30</v>
      </c>
      <c r="C743" s="2" t="s">
        <v>34</v>
      </c>
      <c r="D743" s="2" t="s">
        <v>9</v>
      </c>
      <c r="E743" s="2" t="s">
        <v>10</v>
      </c>
      <c r="F743" s="4">
        <v>2731.1669729999999</v>
      </c>
    </row>
    <row r="744" spans="1:6" ht="15" thickBot="1" x14ac:dyDescent="0.35">
      <c r="A744" s="3" t="s">
        <v>29</v>
      </c>
      <c r="B744" s="2" t="s">
        <v>30</v>
      </c>
      <c r="C744" s="2" t="s">
        <v>13</v>
      </c>
      <c r="D744" s="2" t="s">
        <v>28</v>
      </c>
      <c r="E744" s="2" t="s">
        <v>24</v>
      </c>
      <c r="F744" s="4">
        <v>2861.41</v>
      </c>
    </row>
    <row r="745" spans="1:6" ht="15" thickBot="1" x14ac:dyDescent="0.35">
      <c r="A745" s="3" t="s">
        <v>117</v>
      </c>
      <c r="B745" s="2" t="s">
        <v>7</v>
      </c>
      <c r="C745" s="2" t="s">
        <v>34</v>
      </c>
      <c r="D745" s="2" t="s">
        <v>14</v>
      </c>
      <c r="E745" s="2" t="s">
        <v>15</v>
      </c>
      <c r="F745" s="4">
        <v>2409.39</v>
      </c>
    </row>
    <row r="746" spans="1:6" ht="15" thickBot="1" x14ac:dyDescent="0.35">
      <c r="A746" s="3" t="s">
        <v>125</v>
      </c>
      <c r="B746" s="2" t="s">
        <v>7</v>
      </c>
      <c r="C746" s="2" t="s">
        <v>13</v>
      </c>
      <c r="D746" s="2" t="s">
        <v>28</v>
      </c>
      <c r="E746" s="2" t="s">
        <v>24</v>
      </c>
      <c r="F746" s="4">
        <v>1958.41</v>
      </c>
    </row>
    <row r="747" spans="1:6" ht="15" thickBot="1" x14ac:dyDescent="0.35">
      <c r="A747" s="3" t="s">
        <v>87</v>
      </c>
      <c r="B747" s="2" t="s">
        <v>12</v>
      </c>
      <c r="C747" s="2" t="s">
        <v>8</v>
      </c>
      <c r="D747" s="2" t="s">
        <v>28</v>
      </c>
      <c r="E747" s="2" t="s">
        <v>10</v>
      </c>
      <c r="F747" s="4">
        <v>2816.97</v>
      </c>
    </row>
    <row r="748" spans="1:6" ht="15" thickBot="1" x14ac:dyDescent="0.35">
      <c r="A748" s="3" t="s">
        <v>164</v>
      </c>
      <c r="B748" s="2" t="s">
        <v>19</v>
      </c>
      <c r="C748" s="2" t="s">
        <v>8</v>
      </c>
      <c r="D748" s="2" t="s">
        <v>14</v>
      </c>
      <c r="E748" s="2" t="s">
        <v>24</v>
      </c>
      <c r="F748" s="4">
        <v>4263.92</v>
      </c>
    </row>
    <row r="749" spans="1:6" ht="15" thickBot="1" x14ac:dyDescent="0.35">
      <c r="A749" s="3" t="s">
        <v>163</v>
      </c>
      <c r="B749" s="2" t="s">
        <v>19</v>
      </c>
      <c r="C749" s="2" t="s">
        <v>34</v>
      </c>
      <c r="D749" s="2" t="s">
        <v>14</v>
      </c>
      <c r="E749" s="2" t="s">
        <v>24</v>
      </c>
      <c r="F749" s="4">
        <v>1867.58</v>
      </c>
    </row>
    <row r="750" spans="1:6" ht="15" thickBot="1" x14ac:dyDescent="0.35">
      <c r="A750" s="3" t="s">
        <v>54</v>
      </c>
      <c r="B750" s="2" t="s">
        <v>12</v>
      </c>
      <c r="C750" s="2" t="s">
        <v>23</v>
      </c>
      <c r="D750" s="2" t="s">
        <v>9</v>
      </c>
      <c r="E750" s="2" t="s">
        <v>10</v>
      </c>
      <c r="F750" s="4">
        <v>3447.6118419999998</v>
      </c>
    </row>
    <row r="751" spans="1:6" ht="15" thickBot="1" x14ac:dyDescent="0.35">
      <c r="A751" s="3" t="s">
        <v>75</v>
      </c>
      <c r="B751" s="2" t="s">
        <v>19</v>
      </c>
      <c r="C751" s="2" t="s">
        <v>34</v>
      </c>
      <c r="D751" s="2" t="s">
        <v>9</v>
      </c>
      <c r="E751" s="2" t="s">
        <v>15</v>
      </c>
      <c r="F751" s="4">
        <v>4785.5801659999997</v>
      </c>
    </row>
    <row r="752" spans="1:6" ht="15" thickBot="1" x14ac:dyDescent="0.35">
      <c r="A752" s="3" t="s">
        <v>68</v>
      </c>
      <c r="B752" s="2" t="s">
        <v>12</v>
      </c>
      <c r="C752" s="2" t="s">
        <v>23</v>
      </c>
      <c r="D752" s="2" t="s">
        <v>14</v>
      </c>
      <c r="E752" s="2" t="s">
        <v>15</v>
      </c>
      <c r="F752" s="4">
        <v>3739.05</v>
      </c>
    </row>
    <row r="753" spans="1:6" ht="15" thickBot="1" x14ac:dyDescent="0.35">
      <c r="A753" s="3" t="s">
        <v>25</v>
      </c>
      <c r="B753" s="2" t="s">
        <v>19</v>
      </c>
      <c r="C753" s="2" t="s">
        <v>34</v>
      </c>
      <c r="D753" s="2" t="s">
        <v>14</v>
      </c>
      <c r="E753" s="2" t="s">
        <v>10</v>
      </c>
      <c r="F753" s="4">
        <v>4330.71</v>
      </c>
    </row>
    <row r="754" spans="1:6" ht="15" thickBot="1" x14ac:dyDescent="0.35">
      <c r="A754" s="3" t="s">
        <v>156</v>
      </c>
      <c r="B754" s="2" t="s">
        <v>17</v>
      </c>
      <c r="C754" s="2" t="s">
        <v>13</v>
      </c>
      <c r="D754" s="2" t="s">
        <v>9</v>
      </c>
      <c r="E754" s="2" t="s">
        <v>24</v>
      </c>
      <c r="F754" s="4">
        <v>1947.4241589999999</v>
      </c>
    </row>
    <row r="755" spans="1:6" ht="15" thickBot="1" x14ac:dyDescent="0.35">
      <c r="A755" s="3" t="s">
        <v>119</v>
      </c>
      <c r="B755" s="2" t="s">
        <v>30</v>
      </c>
      <c r="C755" s="2" t="s">
        <v>23</v>
      </c>
      <c r="D755" s="2" t="s">
        <v>14</v>
      </c>
      <c r="E755" s="2" t="s">
        <v>24</v>
      </c>
      <c r="F755" s="4">
        <v>2840.62</v>
      </c>
    </row>
    <row r="756" spans="1:6" ht="15" thickBot="1" x14ac:dyDescent="0.35">
      <c r="A756" s="3" t="s">
        <v>117</v>
      </c>
      <c r="B756" s="2" t="s">
        <v>7</v>
      </c>
      <c r="C756" s="2" t="s">
        <v>8</v>
      </c>
      <c r="D756" s="2" t="s">
        <v>28</v>
      </c>
      <c r="E756" s="2" t="s">
        <v>24</v>
      </c>
      <c r="F756" s="4">
        <v>2415.5100000000002</v>
      </c>
    </row>
    <row r="757" spans="1:6" ht="15" thickBot="1" x14ac:dyDescent="0.35">
      <c r="A757" s="3" t="s">
        <v>140</v>
      </c>
      <c r="B757" s="2" t="s">
        <v>17</v>
      </c>
      <c r="C757" s="2" t="s">
        <v>34</v>
      </c>
      <c r="D757" s="2" t="s">
        <v>9</v>
      </c>
      <c r="E757" s="2" t="s">
        <v>10</v>
      </c>
      <c r="F757" s="4">
        <v>5161.459492</v>
      </c>
    </row>
    <row r="758" spans="1:6" ht="15" thickBot="1" x14ac:dyDescent="0.35">
      <c r="A758" s="3" t="s">
        <v>141</v>
      </c>
      <c r="B758" s="2" t="s">
        <v>7</v>
      </c>
      <c r="C758" s="2" t="s">
        <v>23</v>
      </c>
      <c r="D758" s="2" t="s">
        <v>14</v>
      </c>
      <c r="E758" s="2" t="s">
        <v>24</v>
      </c>
      <c r="F758" s="4">
        <v>2359.52</v>
      </c>
    </row>
    <row r="759" spans="1:6" ht="15" thickBot="1" x14ac:dyDescent="0.35">
      <c r="A759" s="3" t="s">
        <v>180</v>
      </c>
      <c r="B759" s="2" t="s">
        <v>30</v>
      </c>
      <c r="C759" s="2" t="s">
        <v>34</v>
      </c>
      <c r="D759" s="2" t="s">
        <v>14</v>
      </c>
      <c r="E759" s="2" t="s">
        <v>15</v>
      </c>
      <c r="F759" s="4">
        <v>4799.96</v>
      </c>
    </row>
    <row r="760" spans="1:6" ht="15" thickBot="1" x14ac:dyDescent="0.35">
      <c r="A760" s="3" t="s">
        <v>140</v>
      </c>
      <c r="B760" s="2" t="s">
        <v>17</v>
      </c>
      <c r="C760" s="2" t="s">
        <v>34</v>
      </c>
      <c r="D760" s="2" t="s">
        <v>28</v>
      </c>
      <c r="E760" s="2" t="s">
        <v>10</v>
      </c>
      <c r="F760" s="4">
        <v>152.66999999999999</v>
      </c>
    </row>
    <row r="761" spans="1:6" ht="15" thickBot="1" x14ac:dyDescent="0.35">
      <c r="A761" s="3" t="s">
        <v>199</v>
      </c>
      <c r="B761" s="2" t="s">
        <v>17</v>
      </c>
      <c r="C761" s="2" t="s">
        <v>13</v>
      </c>
      <c r="D761" s="2" t="s">
        <v>9</v>
      </c>
      <c r="E761" s="2" t="s">
        <v>24</v>
      </c>
      <c r="F761" s="4">
        <v>2461.8885409999998</v>
      </c>
    </row>
    <row r="762" spans="1:6" ht="15" thickBot="1" x14ac:dyDescent="0.35">
      <c r="A762" s="3" t="s">
        <v>126</v>
      </c>
      <c r="B762" s="2" t="s">
        <v>30</v>
      </c>
      <c r="C762" s="2" t="s">
        <v>23</v>
      </c>
      <c r="D762" s="2" t="s">
        <v>14</v>
      </c>
      <c r="E762" s="2" t="s">
        <v>15</v>
      </c>
      <c r="F762" s="4">
        <v>3223.43</v>
      </c>
    </row>
    <row r="763" spans="1:6" ht="15" thickBot="1" x14ac:dyDescent="0.35">
      <c r="A763" s="3" t="s">
        <v>58</v>
      </c>
      <c r="B763" s="2" t="s">
        <v>17</v>
      </c>
      <c r="C763" s="2" t="s">
        <v>34</v>
      </c>
      <c r="D763" s="2" t="s">
        <v>28</v>
      </c>
      <c r="E763" s="2" t="s">
        <v>15</v>
      </c>
      <c r="F763" s="4">
        <v>3987.54</v>
      </c>
    </row>
    <row r="764" spans="1:6" ht="15" thickBot="1" x14ac:dyDescent="0.35">
      <c r="A764" s="3" t="s">
        <v>32</v>
      </c>
      <c r="B764" s="2" t="s">
        <v>7</v>
      </c>
      <c r="C764" s="2" t="s">
        <v>23</v>
      </c>
      <c r="D764" s="2" t="s">
        <v>14</v>
      </c>
      <c r="E764" s="2" t="s">
        <v>24</v>
      </c>
      <c r="F764" s="4">
        <v>2592.73</v>
      </c>
    </row>
    <row r="765" spans="1:6" ht="15" thickBot="1" x14ac:dyDescent="0.35">
      <c r="A765" s="3" t="s">
        <v>48</v>
      </c>
      <c r="B765" s="2" t="s">
        <v>19</v>
      </c>
      <c r="C765" s="2" t="s">
        <v>8</v>
      </c>
      <c r="D765" s="2" t="s">
        <v>28</v>
      </c>
      <c r="E765" s="2" t="s">
        <v>10</v>
      </c>
      <c r="F765" s="4">
        <v>3770.78</v>
      </c>
    </row>
    <row r="766" spans="1:6" ht="15" thickBot="1" x14ac:dyDescent="0.35">
      <c r="A766" s="3" t="s">
        <v>54</v>
      </c>
      <c r="B766" s="2" t="s">
        <v>12</v>
      </c>
      <c r="C766" s="2" t="s">
        <v>34</v>
      </c>
      <c r="D766" s="2" t="s">
        <v>14</v>
      </c>
      <c r="E766" s="2" t="s">
        <v>10</v>
      </c>
      <c r="F766" s="4">
        <v>348.87</v>
      </c>
    </row>
    <row r="767" spans="1:6" ht="15" thickBot="1" x14ac:dyDescent="0.35">
      <c r="A767" s="3" t="s">
        <v>189</v>
      </c>
      <c r="B767" s="2" t="s">
        <v>19</v>
      </c>
      <c r="C767" s="2" t="s">
        <v>13</v>
      </c>
      <c r="D767" s="2" t="s">
        <v>14</v>
      </c>
      <c r="E767" s="2" t="s">
        <v>15</v>
      </c>
      <c r="F767" s="4">
        <v>2278.9499999999998</v>
      </c>
    </row>
    <row r="768" spans="1:6" ht="15" thickBot="1" x14ac:dyDescent="0.35">
      <c r="A768" s="3" t="s">
        <v>85</v>
      </c>
      <c r="B768" s="2" t="s">
        <v>30</v>
      </c>
      <c r="C768" s="2" t="s">
        <v>8</v>
      </c>
      <c r="D768" s="2" t="s">
        <v>28</v>
      </c>
      <c r="E768" s="2" t="s">
        <v>10</v>
      </c>
      <c r="F768" s="4">
        <v>2550.35</v>
      </c>
    </row>
    <row r="769" spans="1:6" ht="15" thickBot="1" x14ac:dyDescent="0.35">
      <c r="A769" s="3" t="s">
        <v>107</v>
      </c>
      <c r="B769" s="2" t="s">
        <v>30</v>
      </c>
      <c r="C769" s="2" t="s">
        <v>23</v>
      </c>
      <c r="D769" s="2" t="s">
        <v>14</v>
      </c>
      <c r="E769" s="2" t="s">
        <v>15</v>
      </c>
      <c r="F769" s="4">
        <v>2694.43</v>
      </c>
    </row>
    <row r="770" spans="1:6" ht="15" thickBot="1" x14ac:dyDescent="0.35">
      <c r="A770" s="3" t="s">
        <v>114</v>
      </c>
      <c r="B770" s="2" t="s">
        <v>30</v>
      </c>
      <c r="C770" s="2" t="s">
        <v>13</v>
      </c>
      <c r="D770" s="2" t="s">
        <v>28</v>
      </c>
      <c r="E770" s="2" t="s">
        <v>10</v>
      </c>
      <c r="F770" s="4">
        <v>3868.63</v>
      </c>
    </row>
    <row r="771" spans="1:6" ht="15" thickBot="1" x14ac:dyDescent="0.35">
      <c r="A771" s="3" t="s">
        <v>70</v>
      </c>
      <c r="B771" s="2" t="s">
        <v>19</v>
      </c>
      <c r="C771" s="2" t="s">
        <v>8</v>
      </c>
      <c r="D771" s="2" t="s">
        <v>9</v>
      </c>
      <c r="E771" s="2" t="s">
        <v>10</v>
      </c>
      <c r="F771" s="4">
        <v>297.68827140000002</v>
      </c>
    </row>
    <row r="772" spans="1:6" ht="15" thickBot="1" x14ac:dyDescent="0.35">
      <c r="A772" s="3" t="s">
        <v>119</v>
      </c>
      <c r="B772" s="2" t="s">
        <v>30</v>
      </c>
      <c r="C772" s="2" t="s">
        <v>8</v>
      </c>
      <c r="D772" s="2" t="s">
        <v>28</v>
      </c>
      <c r="E772" s="2" t="s">
        <v>24</v>
      </c>
      <c r="F772" s="4">
        <v>579.69000000000005</v>
      </c>
    </row>
    <row r="773" spans="1:6" ht="15" thickBot="1" x14ac:dyDescent="0.35">
      <c r="A773" s="3" t="s">
        <v>197</v>
      </c>
      <c r="B773" s="2" t="s">
        <v>30</v>
      </c>
      <c r="C773" s="2" t="s">
        <v>8</v>
      </c>
      <c r="D773" s="2" t="s">
        <v>28</v>
      </c>
      <c r="E773" s="2" t="s">
        <v>10</v>
      </c>
      <c r="F773" s="4">
        <v>1933.86</v>
      </c>
    </row>
    <row r="774" spans="1:6" ht="15" thickBot="1" x14ac:dyDescent="0.35">
      <c r="A774" s="3" t="s">
        <v>191</v>
      </c>
      <c r="B774" s="2" t="s">
        <v>12</v>
      </c>
      <c r="C774" s="2" t="s">
        <v>13</v>
      </c>
      <c r="D774" s="2" t="s">
        <v>28</v>
      </c>
      <c r="E774" s="2" t="s">
        <v>15</v>
      </c>
      <c r="F774" s="4">
        <v>2753.65</v>
      </c>
    </row>
    <row r="775" spans="1:6" ht="15" thickBot="1" x14ac:dyDescent="0.35">
      <c r="A775" s="3" t="s">
        <v>122</v>
      </c>
      <c r="B775" s="2" t="s">
        <v>19</v>
      </c>
      <c r="C775" s="2" t="s">
        <v>13</v>
      </c>
      <c r="D775" s="2" t="s">
        <v>14</v>
      </c>
      <c r="E775" s="2" t="s">
        <v>15</v>
      </c>
      <c r="F775" s="4">
        <v>1643.04</v>
      </c>
    </row>
    <row r="776" spans="1:6" ht="15" thickBot="1" x14ac:dyDescent="0.35">
      <c r="A776" s="3" t="s">
        <v>109</v>
      </c>
      <c r="B776" s="2" t="s">
        <v>12</v>
      </c>
      <c r="C776" s="2" t="s">
        <v>13</v>
      </c>
      <c r="D776" s="2" t="s">
        <v>14</v>
      </c>
      <c r="E776" s="2" t="s">
        <v>15</v>
      </c>
      <c r="F776" s="4">
        <v>4614.76</v>
      </c>
    </row>
    <row r="777" spans="1:6" ht="15" thickBot="1" x14ac:dyDescent="0.35">
      <c r="A777" s="3" t="s">
        <v>184</v>
      </c>
      <c r="B777" s="2" t="s">
        <v>30</v>
      </c>
      <c r="C777" s="2" t="s">
        <v>23</v>
      </c>
      <c r="D777" s="2" t="s">
        <v>28</v>
      </c>
      <c r="E777" s="2" t="s">
        <v>10</v>
      </c>
      <c r="F777" s="4">
        <v>1222.43</v>
      </c>
    </row>
    <row r="778" spans="1:6" ht="15" thickBot="1" x14ac:dyDescent="0.35">
      <c r="A778" s="3" t="s">
        <v>213</v>
      </c>
      <c r="B778" s="2" t="s">
        <v>12</v>
      </c>
      <c r="C778" s="2" t="s">
        <v>8</v>
      </c>
      <c r="D778" s="2" t="s">
        <v>9</v>
      </c>
      <c r="E778" s="2" t="s">
        <v>24</v>
      </c>
      <c r="F778" s="4">
        <v>2583.2195620000002</v>
      </c>
    </row>
    <row r="779" spans="1:6" ht="15" thickBot="1" x14ac:dyDescent="0.35">
      <c r="A779" s="3" t="s">
        <v>54</v>
      </c>
      <c r="B779" s="2" t="s">
        <v>12</v>
      </c>
      <c r="C779" s="2" t="s">
        <v>8</v>
      </c>
      <c r="D779" s="2" t="s">
        <v>28</v>
      </c>
      <c r="E779" s="2" t="s">
        <v>15</v>
      </c>
      <c r="F779" s="4">
        <v>1562.45</v>
      </c>
    </row>
    <row r="780" spans="1:6" ht="15" thickBot="1" x14ac:dyDescent="0.35">
      <c r="A780" s="3" t="s">
        <v>18</v>
      </c>
      <c r="B780" s="2" t="s">
        <v>19</v>
      </c>
      <c r="C780" s="2" t="s">
        <v>34</v>
      </c>
      <c r="D780" s="2" t="s">
        <v>9</v>
      </c>
      <c r="E780" s="2" t="s">
        <v>24</v>
      </c>
      <c r="F780" s="4">
        <v>3844.335282</v>
      </c>
    </row>
    <row r="781" spans="1:6" ht="15" thickBot="1" x14ac:dyDescent="0.35">
      <c r="A781" s="3" t="s">
        <v>98</v>
      </c>
      <c r="B781" s="2" t="s">
        <v>19</v>
      </c>
      <c r="C781" s="2" t="s">
        <v>23</v>
      </c>
      <c r="D781" s="2" t="s">
        <v>9</v>
      </c>
      <c r="E781" s="2" t="s">
        <v>10</v>
      </c>
      <c r="F781" s="4">
        <v>695.19</v>
      </c>
    </row>
    <row r="782" spans="1:6" ht="15" thickBot="1" x14ac:dyDescent="0.35">
      <c r="A782" s="3" t="s">
        <v>214</v>
      </c>
      <c r="B782" s="2" t="s">
        <v>30</v>
      </c>
      <c r="C782" s="2" t="s">
        <v>34</v>
      </c>
      <c r="D782" s="2" t="s">
        <v>28</v>
      </c>
      <c r="E782" s="2" t="s">
        <v>15</v>
      </c>
      <c r="F782" s="4">
        <v>4607.08</v>
      </c>
    </row>
    <row r="783" spans="1:6" ht="15" thickBot="1" x14ac:dyDescent="0.35">
      <c r="A783" s="3" t="s">
        <v>76</v>
      </c>
      <c r="B783" s="2" t="s">
        <v>17</v>
      </c>
      <c r="C783" s="2" t="s">
        <v>13</v>
      </c>
      <c r="D783" s="2" t="s">
        <v>9</v>
      </c>
      <c r="E783" s="2" t="s">
        <v>10</v>
      </c>
      <c r="F783" s="4">
        <v>2391.3231030000002</v>
      </c>
    </row>
    <row r="784" spans="1:6" ht="15" thickBot="1" x14ac:dyDescent="0.35">
      <c r="A784" s="3" t="s">
        <v>186</v>
      </c>
      <c r="B784" s="2" t="s">
        <v>30</v>
      </c>
      <c r="C784" s="2" t="s">
        <v>13</v>
      </c>
      <c r="D784" s="2" t="s">
        <v>14</v>
      </c>
      <c r="E784" s="2" t="s">
        <v>15</v>
      </c>
      <c r="F784" s="4">
        <v>4313.43</v>
      </c>
    </row>
    <row r="785" spans="1:6" ht="15" thickBot="1" x14ac:dyDescent="0.35">
      <c r="A785" s="3" t="s">
        <v>107</v>
      </c>
      <c r="B785" s="2" t="s">
        <v>30</v>
      </c>
      <c r="C785" s="2" t="s">
        <v>13</v>
      </c>
      <c r="D785" s="2" t="s">
        <v>14</v>
      </c>
      <c r="E785" s="2" t="s">
        <v>10</v>
      </c>
      <c r="F785" s="4">
        <v>1094.0999999999999</v>
      </c>
    </row>
    <row r="786" spans="1:6" ht="15" thickBot="1" x14ac:dyDescent="0.35">
      <c r="A786" s="3" t="s">
        <v>202</v>
      </c>
      <c r="B786" s="2" t="s">
        <v>12</v>
      </c>
      <c r="C786" s="2" t="s">
        <v>13</v>
      </c>
      <c r="D786" s="2" t="s">
        <v>9</v>
      </c>
      <c r="E786" s="2" t="s">
        <v>10</v>
      </c>
      <c r="F786" s="4">
        <v>5193.7170610000003</v>
      </c>
    </row>
    <row r="787" spans="1:6" ht="15" thickBot="1" x14ac:dyDescent="0.35">
      <c r="A787" s="3" t="s">
        <v>184</v>
      </c>
      <c r="B787" s="2" t="s">
        <v>30</v>
      </c>
      <c r="C787" s="2" t="s">
        <v>13</v>
      </c>
      <c r="D787" s="2" t="s">
        <v>28</v>
      </c>
      <c r="E787" s="2" t="s">
        <v>24</v>
      </c>
      <c r="F787" s="4">
        <v>3352.59</v>
      </c>
    </row>
    <row r="788" spans="1:6" ht="15" thickBot="1" x14ac:dyDescent="0.35">
      <c r="A788" s="3" t="s">
        <v>123</v>
      </c>
      <c r="B788" s="2" t="s">
        <v>30</v>
      </c>
      <c r="C788" s="2" t="s">
        <v>23</v>
      </c>
      <c r="D788" s="2" t="s">
        <v>9</v>
      </c>
      <c r="E788" s="2" t="s">
        <v>10</v>
      </c>
      <c r="F788" s="4">
        <v>3888.52</v>
      </c>
    </row>
    <row r="789" spans="1:6" ht="15" thickBot="1" x14ac:dyDescent="0.35">
      <c r="A789" s="3" t="s">
        <v>108</v>
      </c>
      <c r="B789" s="2" t="s">
        <v>7</v>
      </c>
      <c r="C789" s="2" t="s">
        <v>23</v>
      </c>
      <c r="D789" s="2" t="s">
        <v>28</v>
      </c>
      <c r="E789" s="2" t="s">
        <v>15</v>
      </c>
      <c r="F789" s="4">
        <v>3140.95</v>
      </c>
    </row>
    <row r="790" spans="1:6" ht="15" thickBot="1" x14ac:dyDescent="0.35">
      <c r="A790" s="3" t="s">
        <v>57</v>
      </c>
      <c r="B790" s="2" t="s">
        <v>19</v>
      </c>
      <c r="C790" s="2" t="s">
        <v>13</v>
      </c>
      <c r="D790" s="2" t="s">
        <v>9</v>
      </c>
      <c r="E790" s="2" t="s">
        <v>24</v>
      </c>
      <c r="F790" s="4">
        <v>1260.773817</v>
      </c>
    </row>
    <row r="791" spans="1:6" ht="15" thickBot="1" x14ac:dyDescent="0.35">
      <c r="A791" s="3" t="s">
        <v>156</v>
      </c>
      <c r="B791" s="2" t="s">
        <v>17</v>
      </c>
      <c r="C791" s="2" t="s">
        <v>23</v>
      </c>
      <c r="D791" s="2" t="s">
        <v>14</v>
      </c>
      <c r="E791" s="2" t="s">
        <v>24</v>
      </c>
      <c r="F791" s="4">
        <v>416.29</v>
      </c>
    </row>
    <row r="792" spans="1:6" ht="15" thickBot="1" x14ac:dyDescent="0.35">
      <c r="A792" s="3" t="s">
        <v>143</v>
      </c>
      <c r="B792" s="2" t="s">
        <v>17</v>
      </c>
      <c r="C792" s="2" t="s">
        <v>8</v>
      </c>
      <c r="D792" s="2" t="s">
        <v>14</v>
      </c>
      <c r="E792" s="2" t="s">
        <v>15</v>
      </c>
      <c r="F792" s="4">
        <v>96.09</v>
      </c>
    </row>
    <row r="793" spans="1:6" ht="15" thickBot="1" x14ac:dyDescent="0.35">
      <c r="A793" s="3" t="s">
        <v>130</v>
      </c>
      <c r="B793" s="2" t="s">
        <v>12</v>
      </c>
      <c r="C793" s="2" t="s">
        <v>23</v>
      </c>
      <c r="D793" s="2" t="s">
        <v>28</v>
      </c>
      <c r="E793" s="2" t="s">
        <v>15</v>
      </c>
      <c r="F793" s="4">
        <v>1224.1099999999999</v>
      </c>
    </row>
    <row r="794" spans="1:6" ht="15" thickBot="1" x14ac:dyDescent="0.35">
      <c r="A794" s="3" t="s">
        <v>37</v>
      </c>
      <c r="B794" s="2" t="s">
        <v>17</v>
      </c>
      <c r="C794" s="2" t="s">
        <v>34</v>
      </c>
      <c r="D794" s="2" t="s">
        <v>14</v>
      </c>
      <c r="E794" s="2" t="s">
        <v>15</v>
      </c>
      <c r="F794" s="4">
        <v>3899.81</v>
      </c>
    </row>
    <row r="795" spans="1:6" ht="15" thickBot="1" x14ac:dyDescent="0.35">
      <c r="A795" s="3" t="s">
        <v>117</v>
      </c>
      <c r="B795" s="2" t="s">
        <v>7</v>
      </c>
      <c r="C795" s="2" t="s">
        <v>13</v>
      </c>
      <c r="D795" s="2" t="s">
        <v>28</v>
      </c>
      <c r="E795" s="2" t="s">
        <v>15</v>
      </c>
      <c r="F795" s="4">
        <v>1065.82</v>
      </c>
    </row>
    <row r="796" spans="1:6" ht="15" thickBot="1" x14ac:dyDescent="0.35">
      <c r="A796" s="3" t="s">
        <v>177</v>
      </c>
      <c r="B796" s="2" t="s">
        <v>7</v>
      </c>
      <c r="C796" s="2" t="s">
        <v>34</v>
      </c>
      <c r="D796" s="2" t="s">
        <v>28</v>
      </c>
      <c r="E796" s="2" t="s">
        <v>15</v>
      </c>
      <c r="F796" s="4">
        <v>4448.1899999999996</v>
      </c>
    </row>
    <row r="797" spans="1:6" ht="15" thickBot="1" x14ac:dyDescent="0.35">
      <c r="A797" s="3" t="s">
        <v>43</v>
      </c>
      <c r="B797" s="2" t="s">
        <v>17</v>
      </c>
      <c r="C797" s="2" t="s">
        <v>23</v>
      </c>
      <c r="D797" s="2" t="s">
        <v>9</v>
      </c>
      <c r="E797" s="2" t="s">
        <v>24</v>
      </c>
      <c r="F797" s="4">
        <v>2211.0873019999999</v>
      </c>
    </row>
    <row r="798" spans="1:6" ht="15" thickBot="1" x14ac:dyDescent="0.35">
      <c r="A798" s="3" t="s">
        <v>140</v>
      </c>
      <c r="B798" s="2" t="s">
        <v>17</v>
      </c>
      <c r="C798" s="2" t="s">
        <v>23</v>
      </c>
      <c r="D798" s="2" t="s">
        <v>9</v>
      </c>
      <c r="E798" s="2" t="s">
        <v>24</v>
      </c>
      <c r="F798" s="4">
        <v>3199.4069009999998</v>
      </c>
    </row>
    <row r="799" spans="1:6" ht="15" thickBot="1" x14ac:dyDescent="0.35">
      <c r="A799" s="3" t="s">
        <v>212</v>
      </c>
      <c r="B799" s="2" t="s">
        <v>7</v>
      </c>
      <c r="C799" s="2" t="s">
        <v>34</v>
      </c>
      <c r="D799" s="2" t="s">
        <v>14</v>
      </c>
      <c r="E799" s="2" t="s">
        <v>24</v>
      </c>
      <c r="F799" s="4">
        <v>2263.6999999999998</v>
      </c>
    </row>
    <row r="800" spans="1:6" ht="15" thickBot="1" x14ac:dyDescent="0.35">
      <c r="A800" s="3" t="s">
        <v>49</v>
      </c>
      <c r="B800" s="2" t="s">
        <v>19</v>
      </c>
      <c r="C800" s="2" t="s">
        <v>13</v>
      </c>
      <c r="D800" s="2" t="s">
        <v>14</v>
      </c>
      <c r="E800" s="2" t="s">
        <v>15</v>
      </c>
      <c r="F800" s="4">
        <v>4326.03</v>
      </c>
    </row>
    <row r="801" spans="1:6" ht="15" thickBot="1" x14ac:dyDescent="0.35">
      <c r="A801" s="3" t="s">
        <v>203</v>
      </c>
      <c r="B801" s="2" t="s">
        <v>12</v>
      </c>
      <c r="C801" s="2" t="s">
        <v>34</v>
      </c>
      <c r="D801" s="2" t="s">
        <v>9</v>
      </c>
      <c r="E801" s="2" t="s">
        <v>24</v>
      </c>
      <c r="F801" s="4">
        <v>4352.7373250000001</v>
      </c>
    </row>
    <row r="802" spans="1:6" ht="15" thickBot="1" x14ac:dyDescent="0.35">
      <c r="A802" s="3" t="s">
        <v>32</v>
      </c>
      <c r="B802" s="2" t="s">
        <v>7</v>
      </c>
      <c r="C802" s="2" t="s">
        <v>13</v>
      </c>
      <c r="D802" s="2" t="s">
        <v>9</v>
      </c>
      <c r="E802" s="2" t="s">
        <v>15</v>
      </c>
      <c r="F802" s="4">
        <v>4294.79</v>
      </c>
    </row>
    <row r="803" spans="1:6" ht="15" thickBot="1" x14ac:dyDescent="0.35">
      <c r="A803" s="3" t="s">
        <v>132</v>
      </c>
      <c r="B803" s="2" t="s">
        <v>19</v>
      </c>
      <c r="C803" s="2" t="s">
        <v>23</v>
      </c>
      <c r="D803" s="2" t="s">
        <v>14</v>
      </c>
      <c r="E803" s="2" t="s">
        <v>15</v>
      </c>
      <c r="F803" s="4">
        <v>2678.48</v>
      </c>
    </row>
    <row r="804" spans="1:6" ht="15" thickBot="1" x14ac:dyDescent="0.35">
      <c r="A804" s="3" t="s">
        <v>73</v>
      </c>
      <c r="B804" s="2" t="s">
        <v>30</v>
      </c>
      <c r="C804" s="2" t="s">
        <v>8</v>
      </c>
      <c r="D804" s="2" t="s">
        <v>14</v>
      </c>
      <c r="E804" s="2" t="s">
        <v>15</v>
      </c>
      <c r="F804" s="4">
        <v>2267.79</v>
      </c>
    </row>
    <row r="805" spans="1:6" ht="15" thickBot="1" x14ac:dyDescent="0.35">
      <c r="A805" s="3" t="s">
        <v>93</v>
      </c>
      <c r="B805" s="2" t="s">
        <v>30</v>
      </c>
      <c r="C805" s="2" t="s">
        <v>8</v>
      </c>
      <c r="D805" s="2" t="s">
        <v>14</v>
      </c>
      <c r="E805" s="2" t="s">
        <v>24</v>
      </c>
      <c r="F805" s="4">
        <v>2496.0100000000002</v>
      </c>
    </row>
    <row r="806" spans="1:6" ht="15" thickBot="1" x14ac:dyDescent="0.35">
      <c r="A806" s="3" t="s">
        <v>16</v>
      </c>
      <c r="B806" s="2" t="s">
        <v>17</v>
      </c>
      <c r="C806" s="2" t="s">
        <v>13</v>
      </c>
      <c r="D806" s="2" t="s">
        <v>14</v>
      </c>
      <c r="E806" s="2" t="s">
        <v>15</v>
      </c>
      <c r="F806" s="4">
        <v>4601.71</v>
      </c>
    </row>
    <row r="807" spans="1:6" ht="15" thickBot="1" x14ac:dyDescent="0.35">
      <c r="A807" s="3" t="s">
        <v>211</v>
      </c>
      <c r="B807" s="2" t="s">
        <v>7</v>
      </c>
      <c r="C807" s="2" t="s">
        <v>34</v>
      </c>
      <c r="D807" s="2" t="s">
        <v>28</v>
      </c>
      <c r="E807" s="2" t="s">
        <v>24</v>
      </c>
      <c r="F807" s="4">
        <v>2739.77</v>
      </c>
    </row>
    <row r="808" spans="1:6" ht="15" thickBot="1" x14ac:dyDescent="0.35">
      <c r="A808" s="3" t="s">
        <v>99</v>
      </c>
      <c r="B808" s="2" t="s">
        <v>19</v>
      </c>
      <c r="C808" s="2" t="s">
        <v>23</v>
      </c>
      <c r="D808" s="2" t="s">
        <v>9</v>
      </c>
      <c r="E808" s="2" t="s">
        <v>10</v>
      </c>
      <c r="F808" s="4">
        <v>1410.4</v>
      </c>
    </row>
    <row r="809" spans="1:6" ht="15" thickBot="1" x14ac:dyDescent="0.35">
      <c r="A809" s="3" t="s">
        <v>171</v>
      </c>
      <c r="B809" s="2" t="s">
        <v>17</v>
      </c>
      <c r="C809" s="2" t="s">
        <v>8</v>
      </c>
      <c r="D809" s="2" t="s">
        <v>9</v>
      </c>
      <c r="E809" s="2" t="s">
        <v>24</v>
      </c>
      <c r="F809" s="4">
        <v>2563.0937389999999</v>
      </c>
    </row>
    <row r="810" spans="1:6" ht="15" thickBot="1" x14ac:dyDescent="0.35">
      <c r="A810" s="3" t="s">
        <v>208</v>
      </c>
      <c r="B810" s="2" t="s">
        <v>19</v>
      </c>
      <c r="C810" s="2" t="s">
        <v>23</v>
      </c>
      <c r="D810" s="2" t="s">
        <v>14</v>
      </c>
      <c r="E810" s="2" t="s">
        <v>24</v>
      </c>
      <c r="F810" s="4">
        <v>886.98</v>
      </c>
    </row>
    <row r="811" spans="1:6" ht="15" thickBot="1" x14ac:dyDescent="0.35">
      <c r="A811" s="3" t="s">
        <v>73</v>
      </c>
      <c r="B811" s="2" t="s">
        <v>30</v>
      </c>
      <c r="C811" s="2" t="s">
        <v>23</v>
      </c>
      <c r="D811" s="2" t="s">
        <v>14</v>
      </c>
      <c r="E811" s="2" t="s">
        <v>15</v>
      </c>
      <c r="F811" s="4">
        <v>4317.26</v>
      </c>
    </row>
    <row r="812" spans="1:6" ht="15" thickBot="1" x14ac:dyDescent="0.35">
      <c r="A812" s="3" t="s">
        <v>70</v>
      </c>
      <c r="B812" s="2" t="s">
        <v>19</v>
      </c>
      <c r="C812" s="2" t="s">
        <v>13</v>
      </c>
      <c r="D812" s="2" t="s">
        <v>28</v>
      </c>
      <c r="E812" s="2" t="s">
        <v>15</v>
      </c>
      <c r="F812" s="4">
        <v>1597.82</v>
      </c>
    </row>
    <row r="813" spans="1:6" ht="15" thickBot="1" x14ac:dyDescent="0.35">
      <c r="A813" s="3" t="s">
        <v>154</v>
      </c>
      <c r="B813" s="2" t="s">
        <v>12</v>
      </c>
      <c r="C813" s="2" t="s">
        <v>8</v>
      </c>
      <c r="D813" s="2" t="s">
        <v>14</v>
      </c>
      <c r="E813" s="2" t="s">
        <v>10</v>
      </c>
      <c r="F813" s="4">
        <v>3825.5</v>
      </c>
    </row>
    <row r="814" spans="1:6" ht="15" thickBot="1" x14ac:dyDescent="0.35">
      <c r="A814" s="3" t="s">
        <v>202</v>
      </c>
      <c r="B814" s="2" t="s">
        <v>12</v>
      </c>
      <c r="C814" s="2" t="s">
        <v>8</v>
      </c>
      <c r="D814" s="2" t="s">
        <v>9</v>
      </c>
      <c r="E814" s="2" t="s">
        <v>10</v>
      </c>
      <c r="F814" s="4">
        <v>3766.3401309999999</v>
      </c>
    </row>
    <row r="815" spans="1:6" ht="15" thickBot="1" x14ac:dyDescent="0.35">
      <c r="A815" s="3" t="s">
        <v>51</v>
      </c>
      <c r="B815" s="2" t="s">
        <v>30</v>
      </c>
      <c r="C815" s="2" t="s">
        <v>13</v>
      </c>
      <c r="D815" s="2" t="s">
        <v>9</v>
      </c>
      <c r="E815" s="2" t="s">
        <v>15</v>
      </c>
      <c r="F815" s="4">
        <v>4885.6576480000003</v>
      </c>
    </row>
    <row r="816" spans="1:6" ht="15" thickBot="1" x14ac:dyDescent="0.35">
      <c r="A816" s="3" t="s">
        <v>39</v>
      </c>
      <c r="B816" s="2" t="s">
        <v>7</v>
      </c>
      <c r="C816" s="2" t="s">
        <v>23</v>
      </c>
      <c r="D816" s="2" t="s">
        <v>9</v>
      </c>
      <c r="E816" s="2" t="s">
        <v>24</v>
      </c>
      <c r="F816" s="4">
        <v>2013.053784</v>
      </c>
    </row>
    <row r="817" spans="1:6" ht="15" thickBot="1" x14ac:dyDescent="0.35">
      <c r="A817" s="3" t="s">
        <v>89</v>
      </c>
      <c r="B817" s="2" t="s">
        <v>17</v>
      </c>
      <c r="C817" s="2" t="s">
        <v>34</v>
      </c>
      <c r="D817" s="2" t="s">
        <v>9</v>
      </c>
      <c r="E817" s="2" t="s">
        <v>24</v>
      </c>
      <c r="F817" s="4">
        <v>2140.4226189999999</v>
      </c>
    </row>
    <row r="818" spans="1:6" ht="15" thickBot="1" x14ac:dyDescent="0.35">
      <c r="A818" s="3" t="s">
        <v>182</v>
      </c>
      <c r="B818" s="2" t="s">
        <v>12</v>
      </c>
      <c r="C818" s="2" t="s">
        <v>13</v>
      </c>
      <c r="D818" s="2" t="s">
        <v>28</v>
      </c>
      <c r="E818" s="2" t="s">
        <v>10</v>
      </c>
      <c r="F818" s="4">
        <v>707.7</v>
      </c>
    </row>
    <row r="819" spans="1:6" ht="15" thickBot="1" x14ac:dyDescent="0.35">
      <c r="A819" s="3" t="s">
        <v>57</v>
      </c>
      <c r="B819" s="2" t="s">
        <v>19</v>
      </c>
      <c r="C819" s="2" t="s">
        <v>23</v>
      </c>
      <c r="D819" s="2" t="s">
        <v>28</v>
      </c>
      <c r="E819" s="2" t="s">
        <v>24</v>
      </c>
      <c r="F819" s="4">
        <v>1703.95</v>
      </c>
    </row>
    <row r="820" spans="1:6" ht="15" thickBot="1" x14ac:dyDescent="0.35">
      <c r="A820" s="3" t="s">
        <v>199</v>
      </c>
      <c r="B820" s="2" t="s">
        <v>17</v>
      </c>
      <c r="C820" s="2" t="s">
        <v>8</v>
      </c>
      <c r="D820" s="2" t="s">
        <v>28</v>
      </c>
      <c r="E820" s="2" t="s">
        <v>10</v>
      </c>
      <c r="F820" s="4">
        <v>3023.57</v>
      </c>
    </row>
    <row r="821" spans="1:6" ht="15" thickBot="1" x14ac:dyDescent="0.35">
      <c r="A821" s="3" t="s">
        <v>11</v>
      </c>
      <c r="B821" s="2" t="s">
        <v>12</v>
      </c>
      <c r="C821" s="2" t="s">
        <v>23</v>
      </c>
      <c r="D821" s="2" t="s">
        <v>28</v>
      </c>
      <c r="E821" s="2" t="s">
        <v>24</v>
      </c>
      <c r="F821" s="4">
        <v>2101.7199999999998</v>
      </c>
    </row>
    <row r="822" spans="1:6" ht="15" thickBot="1" x14ac:dyDescent="0.35">
      <c r="A822" s="3" t="s">
        <v>215</v>
      </c>
      <c r="B822" s="2" t="s">
        <v>17</v>
      </c>
      <c r="C822" s="2" t="s">
        <v>34</v>
      </c>
      <c r="D822" s="2" t="s">
        <v>14</v>
      </c>
      <c r="E822" s="2" t="s">
        <v>15</v>
      </c>
      <c r="F822" s="4">
        <v>72.97</v>
      </c>
    </row>
    <row r="823" spans="1:6" ht="15" thickBot="1" x14ac:dyDescent="0.35">
      <c r="A823" s="3" t="s">
        <v>107</v>
      </c>
      <c r="B823" s="2" t="s">
        <v>30</v>
      </c>
      <c r="C823" s="2" t="s">
        <v>34</v>
      </c>
      <c r="D823" s="2" t="s">
        <v>28</v>
      </c>
      <c r="E823" s="2" t="s">
        <v>10</v>
      </c>
      <c r="F823" s="4">
        <v>1271.98</v>
      </c>
    </row>
    <row r="824" spans="1:6" ht="15" thickBot="1" x14ac:dyDescent="0.35">
      <c r="A824" s="3" t="s">
        <v>201</v>
      </c>
      <c r="B824" s="2" t="s">
        <v>12</v>
      </c>
      <c r="C824" s="2" t="s">
        <v>8</v>
      </c>
      <c r="D824" s="2" t="s">
        <v>14</v>
      </c>
      <c r="E824" s="2" t="s">
        <v>10</v>
      </c>
      <c r="F824" s="4">
        <v>1645.13</v>
      </c>
    </row>
    <row r="825" spans="1:6" ht="15" thickBot="1" x14ac:dyDescent="0.35">
      <c r="A825" s="3" t="s">
        <v>201</v>
      </c>
      <c r="B825" s="2" t="s">
        <v>12</v>
      </c>
      <c r="C825" s="2" t="s">
        <v>8</v>
      </c>
      <c r="D825" s="2" t="s">
        <v>14</v>
      </c>
      <c r="E825" s="2" t="s">
        <v>15</v>
      </c>
      <c r="F825" s="4">
        <v>1271.48</v>
      </c>
    </row>
    <row r="826" spans="1:6" ht="15" thickBot="1" x14ac:dyDescent="0.35">
      <c r="A826" s="3" t="s">
        <v>134</v>
      </c>
      <c r="B826" s="2" t="s">
        <v>7</v>
      </c>
      <c r="C826" s="2" t="s">
        <v>23</v>
      </c>
      <c r="D826" s="2" t="s">
        <v>28</v>
      </c>
      <c r="E826" s="2" t="s">
        <v>15</v>
      </c>
      <c r="F826" s="4">
        <v>1183.23</v>
      </c>
    </row>
    <row r="827" spans="1:6" ht="15" thickBot="1" x14ac:dyDescent="0.35">
      <c r="A827" s="3" t="s">
        <v>164</v>
      </c>
      <c r="B827" s="2" t="s">
        <v>19</v>
      </c>
      <c r="C827" s="2" t="s">
        <v>13</v>
      </c>
      <c r="D827" s="2" t="s">
        <v>9</v>
      </c>
      <c r="E827" s="2" t="s">
        <v>10</v>
      </c>
      <c r="F827" s="4">
        <v>3135.2882399999999</v>
      </c>
    </row>
    <row r="828" spans="1:6" ht="15" thickBot="1" x14ac:dyDescent="0.35">
      <c r="A828" s="3" t="s">
        <v>124</v>
      </c>
      <c r="B828" s="2" t="s">
        <v>12</v>
      </c>
      <c r="C828" s="2" t="s">
        <v>23</v>
      </c>
      <c r="D828" s="2" t="s">
        <v>14</v>
      </c>
      <c r="E828" s="2" t="s">
        <v>15</v>
      </c>
      <c r="F828" s="4">
        <v>2647.47</v>
      </c>
    </row>
    <row r="829" spans="1:6" ht="15" thickBot="1" x14ac:dyDescent="0.35">
      <c r="A829" s="3" t="s">
        <v>174</v>
      </c>
      <c r="B829" s="2" t="s">
        <v>19</v>
      </c>
      <c r="C829" s="2" t="s">
        <v>13</v>
      </c>
      <c r="D829" s="2" t="s">
        <v>14</v>
      </c>
      <c r="E829" s="2" t="s">
        <v>15</v>
      </c>
      <c r="F829" s="4">
        <v>1670.25</v>
      </c>
    </row>
    <row r="830" spans="1:6" ht="15" thickBot="1" x14ac:dyDescent="0.35">
      <c r="A830" s="3" t="s">
        <v>105</v>
      </c>
      <c r="B830" s="2" t="s">
        <v>30</v>
      </c>
      <c r="C830" s="2" t="s">
        <v>13</v>
      </c>
      <c r="D830" s="2" t="s">
        <v>9</v>
      </c>
      <c r="E830" s="2" t="s">
        <v>15</v>
      </c>
      <c r="F830" s="4">
        <v>3796.74</v>
      </c>
    </row>
    <row r="831" spans="1:6" ht="15" thickBot="1" x14ac:dyDescent="0.35">
      <c r="A831" s="3" t="s">
        <v>127</v>
      </c>
      <c r="B831" s="2" t="s">
        <v>17</v>
      </c>
      <c r="C831" s="2" t="s">
        <v>8</v>
      </c>
      <c r="D831" s="2" t="s">
        <v>14</v>
      </c>
      <c r="E831" s="2" t="s">
        <v>15</v>
      </c>
      <c r="F831" s="4">
        <v>2430.6999999999998</v>
      </c>
    </row>
    <row r="832" spans="1:6" ht="15" thickBot="1" x14ac:dyDescent="0.35">
      <c r="A832" s="3" t="s">
        <v>100</v>
      </c>
      <c r="B832" s="2" t="s">
        <v>7</v>
      </c>
      <c r="C832" s="2" t="s">
        <v>8</v>
      </c>
      <c r="D832" s="2" t="s">
        <v>9</v>
      </c>
      <c r="E832" s="2" t="s">
        <v>10</v>
      </c>
      <c r="F832" s="4">
        <v>4664.5184390000004</v>
      </c>
    </row>
    <row r="833" spans="1:6" ht="15" thickBot="1" x14ac:dyDescent="0.35">
      <c r="A833" s="3" t="s">
        <v>70</v>
      </c>
      <c r="B833" s="2" t="s">
        <v>19</v>
      </c>
      <c r="C833" s="2" t="s">
        <v>8</v>
      </c>
      <c r="D833" s="2" t="s">
        <v>14</v>
      </c>
      <c r="E833" s="2" t="s">
        <v>10</v>
      </c>
      <c r="F833" s="4">
        <v>2563.5500000000002</v>
      </c>
    </row>
    <row r="834" spans="1:6" ht="15" thickBot="1" x14ac:dyDescent="0.35">
      <c r="A834" s="3" t="s">
        <v>62</v>
      </c>
      <c r="B834" s="2" t="s">
        <v>30</v>
      </c>
      <c r="C834" s="2" t="s">
        <v>13</v>
      </c>
      <c r="D834" s="2" t="s">
        <v>14</v>
      </c>
      <c r="E834" s="2" t="s">
        <v>24</v>
      </c>
      <c r="F834" s="4">
        <v>2866.4</v>
      </c>
    </row>
    <row r="835" spans="1:6" ht="15" thickBot="1" x14ac:dyDescent="0.35">
      <c r="A835" s="3" t="s">
        <v>35</v>
      </c>
      <c r="B835" s="2" t="s">
        <v>19</v>
      </c>
      <c r="C835" s="2" t="s">
        <v>34</v>
      </c>
      <c r="D835" s="2" t="s">
        <v>14</v>
      </c>
      <c r="E835" s="2" t="s">
        <v>10</v>
      </c>
      <c r="F835" s="4">
        <v>4646.07</v>
      </c>
    </row>
    <row r="836" spans="1:6" ht="15" thickBot="1" x14ac:dyDescent="0.35">
      <c r="A836" s="3" t="s">
        <v>73</v>
      </c>
      <c r="B836" s="2" t="s">
        <v>30</v>
      </c>
      <c r="C836" s="2" t="s">
        <v>23</v>
      </c>
      <c r="D836" s="2" t="s">
        <v>9</v>
      </c>
      <c r="E836" s="2" t="s">
        <v>10</v>
      </c>
      <c r="F836" s="4">
        <v>858.75894459999995</v>
      </c>
    </row>
    <row r="837" spans="1:6" ht="15" thickBot="1" x14ac:dyDescent="0.35">
      <c r="A837" s="3" t="s">
        <v>111</v>
      </c>
      <c r="B837" s="2" t="s">
        <v>19</v>
      </c>
      <c r="C837" s="2" t="s">
        <v>34</v>
      </c>
      <c r="D837" s="2" t="s">
        <v>14</v>
      </c>
      <c r="E837" s="2" t="s">
        <v>10</v>
      </c>
      <c r="F837" s="4">
        <v>2645.6</v>
      </c>
    </row>
    <row r="838" spans="1:6" ht="15" thickBot="1" x14ac:dyDescent="0.35">
      <c r="A838" s="3" t="s">
        <v>153</v>
      </c>
      <c r="B838" s="2" t="s">
        <v>7</v>
      </c>
      <c r="C838" s="2" t="s">
        <v>23</v>
      </c>
      <c r="D838" s="2" t="s">
        <v>9</v>
      </c>
      <c r="E838" s="2" t="s">
        <v>10</v>
      </c>
      <c r="F838" s="4">
        <v>4396.4497890000002</v>
      </c>
    </row>
    <row r="839" spans="1:6" ht="15" thickBot="1" x14ac:dyDescent="0.35">
      <c r="A839" s="3" t="s">
        <v>64</v>
      </c>
      <c r="B839" s="2" t="s">
        <v>30</v>
      </c>
      <c r="C839" s="2" t="s">
        <v>8</v>
      </c>
      <c r="D839" s="2" t="s">
        <v>9</v>
      </c>
      <c r="E839" s="2" t="s">
        <v>15</v>
      </c>
      <c r="F839" s="4">
        <v>2468.89</v>
      </c>
    </row>
    <row r="840" spans="1:6" ht="15" thickBot="1" x14ac:dyDescent="0.35">
      <c r="A840" s="3" t="s">
        <v>108</v>
      </c>
      <c r="B840" s="2" t="s">
        <v>7</v>
      </c>
      <c r="C840" s="2" t="s">
        <v>13</v>
      </c>
      <c r="D840" s="2" t="s">
        <v>14</v>
      </c>
      <c r="E840" s="2" t="s">
        <v>24</v>
      </c>
      <c r="F840" s="4">
        <v>3901.9</v>
      </c>
    </row>
    <row r="841" spans="1:6" ht="15" thickBot="1" x14ac:dyDescent="0.35">
      <c r="A841" s="3" t="s">
        <v>193</v>
      </c>
      <c r="B841" s="2" t="s">
        <v>12</v>
      </c>
      <c r="C841" s="2" t="s">
        <v>23</v>
      </c>
      <c r="D841" s="2" t="s">
        <v>9</v>
      </c>
      <c r="E841" s="2" t="s">
        <v>24</v>
      </c>
      <c r="F841" s="4">
        <v>2711.0032080000001</v>
      </c>
    </row>
    <row r="842" spans="1:6" ht="15" thickBot="1" x14ac:dyDescent="0.35">
      <c r="A842" s="3" t="s">
        <v>110</v>
      </c>
      <c r="B842" s="2" t="s">
        <v>12</v>
      </c>
      <c r="C842" s="2" t="s">
        <v>13</v>
      </c>
      <c r="D842" s="2" t="s">
        <v>9</v>
      </c>
      <c r="E842" s="2" t="s">
        <v>24</v>
      </c>
      <c r="F842" s="4">
        <v>1971.3</v>
      </c>
    </row>
    <row r="843" spans="1:6" ht="15" thickBot="1" x14ac:dyDescent="0.35">
      <c r="A843" s="3" t="s">
        <v>189</v>
      </c>
      <c r="B843" s="2" t="s">
        <v>19</v>
      </c>
      <c r="C843" s="2" t="s">
        <v>13</v>
      </c>
      <c r="D843" s="2" t="s">
        <v>14</v>
      </c>
      <c r="E843" s="2" t="s">
        <v>24</v>
      </c>
      <c r="F843" s="4">
        <v>4296.74</v>
      </c>
    </row>
    <row r="844" spans="1:6" ht="15" thickBot="1" x14ac:dyDescent="0.35">
      <c r="A844" s="3" t="s">
        <v>87</v>
      </c>
      <c r="B844" s="2" t="s">
        <v>12</v>
      </c>
      <c r="C844" s="2" t="s">
        <v>23</v>
      </c>
      <c r="D844" s="2" t="s">
        <v>28</v>
      </c>
      <c r="E844" s="2" t="s">
        <v>24</v>
      </c>
      <c r="F844" s="4">
        <v>3792.89</v>
      </c>
    </row>
    <row r="845" spans="1:6" ht="15" thickBot="1" x14ac:dyDescent="0.35">
      <c r="A845" s="3" t="s">
        <v>99</v>
      </c>
      <c r="B845" s="2" t="s">
        <v>19</v>
      </c>
      <c r="C845" s="2" t="s">
        <v>34</v>
      </c>
      <c r="D845" s="2" t="s">
        <v>28</v>
      </c>
      <c r="E845" s="2" t="s">
        <v>15</v>
      </c>
      <c r="F845" s="4">
        <v>1486.21</v>
      </c>
    </row>
    <row r="846" spans="1:6" ht="15" thickBot="1" x14ac:dyDescent="0.35">
      <c r="A846" s="3" t="s">
        <v>216</v>
      </c>
      <c r="B846" s="2" t="s">
        <v>17</v>
      </c>
      <c r="C846" s="2" t="s">
        <v>34</v>
      </c>
      <c r="D846" s="2" t="s">
        <v>28</v>
      </c>
      <c r="E846" s="2" t="s">
        <v>15</v>
      </c>
      <c r="F846" s="4">
        <v>2653.12</v>
      </c>
    </row>
    <row r="847" spans="1:6" ht="15" thickBot="1" x14ac:dyDescent="0.35">
      <c r="A847" s="3" t="s">
        <v>181</v>
      </c>
      <c r="B847" s="2" t="s">
        <v>30</v>
      </c>
      <c r="C847" s="2" t="s">
        <v>23</v>
      </c>
      <c r="D847" s="2" t="s">
        <v>14</v>
      </c>
      <c r="E847" s="2" t="s">
        <v>15</v>
      </c>
      <c r="F847" s="4">
        <v>4329.05</v>
      </c>
    </row>
    <row r="848" spans="1:6" ht="15" thickBot="1" x14ac:dyDescent="0.35">
      <c r="A848" s="3" t="s">
        <v>184</v>
      </c>
      <c r="B848" s="2" t="s">
        <v>30</v>
      </c>
      <c r="C848" s="2" t="s">
        <v>13</v>
      </c>
      <c r="D848" s="2" t="s">
        <v>9</v>
      </c>
      <c r="E848" s="2" t="s">
        <v>10</v>
      </c>
      <c r="F848" s="4">
        <v>3438.4822770000001</v>
      </c>
    </row>
    <row r="849" spans="1:6" ht="15" thickBot="1" x14ac:dyDescent="0.35">
      <c r="A849" s="3" t="s">
        <v>211</v>
      </c>
      <c r="B849" s="2" t="s">
        <v>7</v>
      </c>
      <c r="C849" s="2" t="s">
        <v>34</v>
      </c>
      <c r="D849" s="2" t="s">
        <v>9</v>
      </c>
      <c r="E849" s="2" t="s">
        <v>24</v>
      </c>
      <c r="F849" s="4">
        <v>4297.0303940000003</v>
      </c>
    </row>
    <row r="850" spans="1:6" ht="15" thickBot="1" x14ac:dyDescent="0.35">
      <c r="A850" s="3" t="s">
        <v>200</v>
      </c>
      <c r="B850" s="2" t="s">
        <v>30</v>
      </c>
      <c r="C850" s="2" t="s">
        <v>34</v>
      </c>
      <c r="D850" s="2" t="s">
        <v>9</v>
      </c>
      <c r="E850" s="2" t="s">
        <v>10</v>
      </c>
      <c r="F850" s="4">
        <v>1748.1880329999999</v>
      </c>
    </row>
    <row r="851" spans="1:6" ht="15" thickBot="1" x14ac:dyDescent="0.35">
      <c r="A851" s="3" t="s">
        <v>185</v>
      </c>
      <c r="B851" s="2" t="s">
        <v>30</v>
      </c>
      <c r="C851" s="2" t="s">
        <v>34</v>
      </c>
      <c r="D851" s="2" t="s">
        <v>9</v>
      </c>
      <c r="E851" s="2" t="s">
        <v>15</v>
      </c>
      <c r="F851" s="4">
        <v>2629.36</v>
      </c>
    </row>
    <row r="852" spans="1:6" ht="15" thickBot="1" x14ac:dyDescent="0.35">
      <c r="A852" s="3" t="s">
        <v>94</v>
      </c>
      <c r="B852" s="2" t="s">
        <v>7</v>
      </c>
      <c r="C852" s="2" t="s">
        <v>13</v>
      </c>
      <c r="D852" s="2" t="s">
        <v>9</v>
      </c>
      <c r="E852" s="2" t="s">
        <v>10</v>
      </c>
      <c r="F852" s="4">
        <v>4350.9599639999997</v>
      </c>
    </row>
    <row r="853" spans="1:6" ht="15" thickBot="1" x14ac:dyDescent="0.35">
      <c r="A853" s="3" t="s">
        <v>142</v>
      </c>
      <c r="B853" s="2" t="s">
        <v>17</v>
      </c>
      <c r="C853" s="2" t="s">
        <v>34</v>
      </c>
      <c r="D853" s="2" t="s">
        <v>14</v>
      </c>
      <c r="E853" s="2" t="s">
        <v>10</v>
      </c>
      <c r="F853" s="4">
        <v>400</v>
      </c>
    </row>
    <row r="854" spans="1:6" ht="15" thickBot="1" x14ac:dyDescent="0.35">
      <c r="A854" s="3" t="s">
        <v>144</v>
      </c>
      <c r="B854" s="2" t="s">
        <v>30</v>
      </c>
      <c r="C854" s="2" t="s">
        <v>23</v>
      </c>
      <c r="D854" s="2" t="s">
        <v>28</v>
      </c>
      <c r="E854" s="2" t="s">
        <v>15</v>
      </c>
      <c r="F854" s="4">
        <v>4737.45</v>
      </c>
    </row>
    <row r="855" spans="1:6" ht="15" thickBot="1" x14ac:dyDescent="0.35">
      <c r="A855" s="3" t="s">
        <v>217</v>
      </c>
      <c r="B855" s="2" t="s">
        <v>19</v>
      </c>
      <c r="C855" s="2" t="s">
        <v>23</v>
      </c>
      <c r="D855" s="2" t="s">
        <v>28</v>
      </c>
      <c r="E855" s="2" t="s">
        <v>24</v>
      </c>
      <c r="F855" s="4">
        <v>2400.9</v>
      </c>
    </row>
    <row r="856" spans="1:6" ht="15" thickBot="1" x14ac:dyDescent="0.35">
      <c r="A856" s="3" t="s">
        <v>88</v>
      </c>
      <c r="B856" s="2" t="s">
        <v>7</v>
      </c>
      <c r="C856" s="2" t="s">
        <v>34</v>
      </c>
      <c r="D856" s="2" t="s">
        <v>14</v>
      </c>
      <c r="E856" s="2" t="s">
        <v>10</v>
      </c>
      <c r="F856" s="4">
        <v>3887.35</v>
      </c>
    </row>
    <row r="857" spans="1:6" ht="15" thickBot="1" x14ac:dyDescent="0.35">
      <c r="A857" s="3" t="s">
        <v>31</v>
      </c>
      <c r="B857" s="2" t="s">
        <v>30</v>
      </c>
      <c r="C857" s="2" t="s">
        <v>13</v>
      </c>
      <c r="D857" s="2" t="s">
        <v>14</v>
      </c>
      <c r="E857" s="2" t="s">
        <v>10</v>
      </c>
      <c r="F857" s="4">
        <v>3231.03</v>
      </c>
    </row>
    <row r="858" spans="1:6" ht="15" thickBot="1" x14ac:dyDescent="0.35">
      <c r="A858" s="3" t="s">
        <v>85</v>
      </c>
      <c r="B858" s="2" t="s">
        <v>30</v>
      </c>
      <c r="C858" s="2" t="s">
        <v>34</v>
      </c>
      <c r="D858" s="2" t="s">
        <v>28</v>
      </c>
      <c r="E858" s="2" t="s">
        <v>24</v>
      </c>
      <c r="F858" s="4">
        <v>1139.33</v>
      </c>
    </row>
    <row r="859" spans="1:6" ht="15" thickBot="1" x14ac:dyDescent="0.35">
      <c r="A859" s="3" t="s">
        <v>171</v>
      </c>
      <c r="B859" s="2" t="s">
        <v>17</v>
      </c>
      <c r="C859" s="2" t="s">
        <v>34</v>
      </c>
      <c r="D859" s="2" t="s">
        <v>14</v>
      </c>
      <c r="E859" s="2" t="s">
        <v>15</v>
      </c>
      <c r="F859" s="4">
        <v>4799</v>
      </c>
    </row>
    <row r="860" spans="1:6" ht="15" thickBot="1" x14ac:dyDescent="0.35">
      <c r="A860" s="3" t="s">
        <v>26</v>
      </c>
      <c r="B860" s="2" t="s">
        <v>17</v>
      </c>
      <c r="C860" s="2" t="s">
        <v>8</v>
      </c>
      <c r="D860" s="2" t="s">
        <v>14</v>
      </c>
      <c r="E860" s="2" t="s">
        <v>24</v>
      </c>
      <c r="F860" s="4">
        <v>3657.83</v>
      </c>
    </row>
    <row r="861" spans="1:6" ht="15" thickBot="1" x14ac:dyDescent="0.35">
      <c r="A861" s="3" t="s">
        <v>195</v>
      </c>
      <c r="B861" s="2" t="s">
        <v>7</v>
      </c>
      <c r="C861" s="2" t="s">
        <v>23</v>
      </c>
      <c r="D861" s="2" t="s">
        <v>9</v>
      </c>
      <c r="E861" s="2" t="s">
        <v>10</v>
      </c>
      <c r="F861" s="4">
        <v>2571.4593089999998</v>
      </c>
    </row>
    <row r="862" spans="1:6" ht="15" thickBot="1" x14ac:dyDescent="0.35">
      <c r="A862" s="3" t="s">
        <v>154</v>
      </c>
      <c r="B862" s="2" t="s">
        <v>12</v>
      </c>
      <c r="C862" s="2" t="s">
        <v>8</v>
      </c>
      <c r="D862" s="2" t="s">
        <v>14</v>
      </c>
      <c r="E862" s="2" t="s">
        <v>24</v>
      </c>
      <c r="F862" s="4">
        <v>3338</v>
      </c>
    </row>
    <row r="863" spans="1:6" ht="15" thickBot="1" x14ac:dyDescent="0.35">
      <c r="A863" s="3" t="s">
        <v>115</v>
      </c>
      <c r="B863" s="2" t="s">
        <v>19</v>
      </c>
      <c r="C863" s="2" t="s">
        <v>13</v>
      </c>
      <c r="D863" s="2" t="s">
        <v>28</v>
      </c>
      <c r="E863" s="2" t="s">
        <v>24</v>
      </c>
      <c r="F863" s="4">
        <v>4623.8100000000004</v>
      </c>
    </row>
    <row r="864" spans="1:6" ht="15" thickBot="1" x14ac:dyDescent="0.35">
      <c r="A864" s="3" t="s">
        <v>140</v>
      </c>
      <c r="B864" s="2" t="s">
        <v>17</v>
      </c>
      <c r="C864" s="2" t="s">
        <v>13</v>
      </c>
      <c r="D864" s="2" t="s">
        <v>28</v>
      </c>
      <c r="E864" s="2" t="s">
        <v>15</v>
      </c>
      <c r="F864" s="4">
        <v>3591.86</v>
      </c>
    </row>
    <row r="865" spans="1:6" ht="15" thickBot="1" x14ac:dyDescent="0.35">
      <c r="A865" s="3" t="s">
        <v>128</v>
      </c>
      <c r="B865" s="2" t="s">
        <v>12</v>
      </c>
      <c r="C865" s="2" t="s">
        <v>8</v>
      </c>
      <c r="D865" s="2" t="s">
        <v>9</v>
      </c>
      <c r="E865" s="2" t="s">
        <v>15</v>
      </c>
      <c r="F865" s="4">
        <v>2370.4460279999998</v>
      </c>
    </row>
    <row r="866" spans="1:6" ht="15" thickBot="1" x14ac:dyDescent="0.35">
      <c r="A866" s="3" t="s">
        <v>76</v>
      </c>
      <c r="B866" s="2" t="s">
        <v>17</v>
      </c>
      <c r="C866" s="2" t="s">
        <v>34</v>
      </c>
      <c r="D866" s="2" t="s">
        <v>9</v>
      </c>
      <c r="E866" s="2" t="s">
        <v>10</v>
      </c>
      <c r="F866" s="4">
        <v>3703.0568629999998</v>
      </c>
    </row>
    <row r="867" spans="1:6" ht="15" thickBot="1" x14ac:dyDescent="0.35">
      <c r="A867" s="3" t="s">
        <v>6</v>
      </c>
      <c r="B867" s="2" t="s">
        <v>7</v>
      </c>
      <c r="C867" s="2" t="s">
        <v>34</v>
      </c>
      <c r="D867" s="2" t="s">
        <v>14</v>
      </c>
      <c r="E867" s="2" t="s">
        <v>15</v>
      </c>
      <c r="F867" s="4">
        <v>2135.3200000000002</v>
      </c>
    </row>
    <row r="868" spans="1:6" ht="15" thickBot="1" x14ac:dyDescent="0.35">
      <c r="A868" s="3" t="s">
        <v>179</v>
      </c>
      <c r="B868" s="2" t="s">
        <v>7</v>
      </c>
      <c r="C868" s="2" t="s">
        <v>23</v>
      </c>
      <c r="D868" s="2" t="s">
        <v>9</v>
      </c>
      <c r="E868" s="2" t="s">
        <v>15</v>
      </c>
      <c r="F868" s="4">
        <v>4016.4773869999999</v>
      </c>
    </row>
    <row r="869" spans="1:6" ht="15" thickBot="1" x14ac:dyDescent="0.35">
      <c r="A869" s="3" t="s">
        <v>210</v>
      </c>
      <c r="B869" s="2" t="s">
        <v>7</v>
      </c>
      <c r="C869" s="2" t="s">
        <v>8</v>
      </c>
      <c r="D869" s="2" t="s">
        <v>28</v>
      </c>
      <c r="E869" s="2" t="s">
        <v>24</v>
      </c>
      <c r="F869" s="4">
        <v>2536.5</v>
      </c>
    </row>
    <row r="870" spans="1:6" ht="15" thickBot="1" x14ac:dyDescent="0.35">
      <c r="A870" s="3" t="s">
        <v>88</v>
      </c>
      <c r="B870" s="2" t="s">
        <v>7</v>
      </c>
      <c r="C870" s="2" t="s">
        <v>13</v>
      </c>
      <c r="D870" s="2" t="s">
        <v>14</v>
      </c>
      <c r="E870" s="2" t="s">
        <v>15</v>
      </c>
      <c r="F870" s="4">
        <v>4254.34</v>
      </c>
    </row>
    <row r="871" spans="1:6" ht="15" thickBot="1" x14ac:dyDescent="0.35">
      <c r="A871" s="3" t="s">
        <v>82</v>
      </c>
      <c r="B871" s="2" t="s">
        <v>17</v>
      </c>
      <c r="C871" s="2" t="s">
        <v>34</v>
      </c>
      <c r="D871" s="2" t="s">
        <v>14</v>
      </c>
      <c r="E871" s="2" t="s">
        <v>15</v>
      </c>
      <c r="F871" s="4">
        <v>1897.31</v>
      </c>
    </row>
    <row r="872" spans="1:6" ht="15" thickBot="1" x14ac:dyDescent="0.35">
      <c r="A872" s="3" t="s">
        <v>82</v>
      </c>
      <c r="B872" s="2" t="s">
        <v>17</v>
      </c>
      <c r="C872" s="2" t="s">
        <v>8</v>
      </c>
      <c r="D872" s="2" t="s">
        <v>14</v>
      </c>
      <c r="E872" s="2" t="s">
        <v>15</v>
      </c>
      <c r="F872" s="4">
        <v>4286.67</v>
      </c>
    </row>
    <row r="873" spans="1:6" ht="15" thickBot="1" x14ac:dyDescent="0.35">
      <c r="A873" s="3" t="s">
        <v>83</v>
      </c>
      <c r="B873" s="2" t="s">
        <v>17</v>
      </c>
      <c r="C873" s="2" t="s">
        <v>8</v>
      </c>
      <c r="D873" s="2" t="s">
        <v>28</v>
      </c>
      <c r="E873" s="2" t="s">
        <v>15</v>
      </c>
      <c r="F873" s="4">
        <v>2709.88</v>
      </c>
    </row>
    <row r="874" spans="1:6" ht="15" thickBot="1" x14ac:dyDescent="0.35">
      <c r="A874" s="3" t="s">
        <v>91</v>
      </c>
      <c r="B874" s="2" t="s">
        <v>30</v>
      </c>
      <c r="C874" s="2" t="s">
        <v>13</v>
      </c>
      <c r="D874" s="2" t="s">
        <v>28</v>
      </c>
      <c r="E874" s="2" t="s">
        <v>15</v>
      </c>
      <c r="F874" s="4">
        <v>4482.51</v>
      </c>
    </row>
    <row r="875" spans="1:6" ht="15" thickBot="1" x14ac:dyDescent="0.35">
      <c r="A875" s="3" t="s">
        <v>62</v>
      </c>
      <c r="B875" s="2" t="s">
        <v>30</v>
      </c>
      <c r="C875" s="2" t="s">
        <v>34</v>
      </c>
      <c r="D875" s="2" t="s">
        <v>28</v>
      </c>
      <c r="E875" s="2" t="s">
        <v>24</v>
      </c>
      <c r="F875" s="4">
        <v>4156</v>
      </c>
    </row>
    <row r="876" spans="1:6" ht="15" thickBot="1" x14ac:dyDescent="0.35">
      <c r="A876" s="3" t="s">
        <v>41</v>
      </c>
      <c r="B876" s="2" t="s">
        <v>30</v>
      </c>
      <c r="C876" s="2" t="s">
        <v>34</v>
      </c>
      <c r="D876" s="2" t="s">
        <v>9</v>
      </c>
      <c r="E876" s="2" t="s">
        <v>10</v>
      </c>
      <c r="F876" s="4">
        <v>2731.8927560000002</v>
      </c>
    </row>
    <row r="877" spans="1:6" ht="15" thickBot="1" x14ac:dyDescent="0.35">
      <c r="A877" s="3" t="s">
        <v>180</v>
      </c>
      <c r="B877" s="2" t="s">
        <v>30</v>
      </c>
      <c r="C877" s="2" t="s">
        <v>8</v>
      </c>
      <c r="D877" s="2" t="s">
        <v>9</v>
      </c>
      <c r="E877" s="2" t="s">
        <v>24</v>
      </c>
      <c r="F877" s="4">
        <v>84.4</v>
      </c>
    </row>
    <row r="878" spans="1:6" ht="15" thickBot="1" x14ac:dyDescent="0.35">
      <c r="A878" s="3" t="s">
        <v>166</v>
      </c>
      <c r="B878" s="2" t="s">
        <v>7</v>
      </c>
      <c r="C878" s="2" t="s">
        <v>34</v>
      </c>
      <c r="D878" s="2" t="s">
        <v>14</v>
      </c>
      <c r="E878" s="2" t="s">
        <v>15</v>
      </c>
      <c r="F878" s="4">
        <v>84.55</v>
      </c>
    </row>
    <row r="879" spans="1:6" ht="15" thickBot="1" x14ac:dyDescent="0.35">
      <c r="A879" s="3" t="s">
        <v>129</v>
      </c>
      <c r="B879" s="2" t="s">
        <v>17</v>
      </c>
      <c r="C879" s="2" t="s">
        <v>23</v>
      </c>
      <c r="D879" s="2" t="s">
        <v>14</v>
      </c>
      <c r="E879" s="2" t="s">
        <v>10</v>
      </c>
      <c r="F879" s="4">
        <v>3865.97</v>
      </c>
    </row>
    <row r="880" spans="1:6" ht="15" thickBot="1" x14ac:dyDescent="0.35">
      <c r="A880" s="3" t="s">
        <v>70</v>
      </c>
      <c r="B880" s="2" t="s">
        <v>19</v>
      </c>
      <c r="C880" s="2" t="s">
        <v>13</v>
      </c>
      <c r="D880" s="2" t="s">
        <v>28</v>
      </c>
      <c r="E880" s="2" t="s">
        <v>24</v>
      </c>
      <c r="F880" s="4">
        <v>4994.79</v>
      </c>
    </row>
    <row r="881" spans="1:6" ht="15" thickBot="1" x14ac:dyDescent="0.35">
      <c r="A881" s="3" t="s">
        <v>65</v>
      </c>
      <c r="B881" s="2" t="s">
        <v>30</v>
      </c>
      <c r="C881" s="2" t="s">
        <v>8</v>
      </c>
      <c r="D881" s="2" t="s">
        <v>9</v>
      </c>
      <c r="E881" s="2" t="s">
        <v>24</v>
      </c>
      <c r="F881" s="4">
        <v>4341.6706560000002</v>
      </c>
    </row>
    <row r="882" spans="1:6" ht="15" thickBot="1" x14ac:dyDescent="0.35">
      <c r="A882" s="3" t="s">
        <v>165</v>
      </c>
      <c r="B882" s="2" t="s">
        <v>7</v>
      </c>
      <c r="C882" s="2" t="s">
        <v>34</v>
      </c>
      <c r="D882" s="2" t="s">
        <v>28</v>
      </c>
      <c r="E882" s="2" t="s">
        <v>10</v>
      </c>
      <c r="F882" s="4">
        <v>4845.8500000000004</v>
      </c>
    </row>
    <row r="883" spans="1:6" ht="15" thickBot="1" x14ac:dyDescent="0.35">
      <c r="A883" s="3" t="s">
        <v>22</v>
      </c>
      <c r="B883" s="2" t="s">
        <v>12</v>
      </c>
      <c r="C883" s="2" t="s">
        <v>23</v>
      </c>
      <c r="D883" s="2" t="s">
        <v>14</v>
      </c>
      <c r="E883" s="2" t="s">
        <v>15</v>
      </c>
      <c r="F883" s="4">
        <v>695.8</v>
      </c>
    </row>
    <row r="884" spans="1:6" ht="15" thickBot="1" x14ac:dyDescent="0.35">
      <c r="A884" s="3" t="s">
        <v>131</v>
      </c>
      <c r="B884" s="2" t="s">
        <v>17</v>
      </c>
      <c r="C884" s="2" t="s">
        <v>23</v>
      </c>
      <c r="D884" s="2" t="s">
        <v>9</v>
      </c>
      <c r="E884" s="2" t="s">
        <v>24</v>
      </c>
      <c r="F884" s="4">
        <v>2429.7024150000002</v>
      </c>
    </row>
    <row r="885" spans="1:6" ht="15" thickBot="1" x14ac:dyDescent="0.35">
      <c r="A885" s="3" t="s">
        <v>84</v>
      </c>
      <c r="B885" s="2" t="s">
        <v>30</v>
      </c>
      <c r="C885" s="2" t="s">
        <v>23</v>
      </c>
      <c r="D885" s="2" t="s">
        <v>28</v>
      </c>
      <c r="E885" s="2" t="s">
        <v>10</v>
      </c>
      <c r="F885" s="4">
        <v>3517.31</v>
      </c>
    </row>
    <row r="886" spans="1:6" ht="15" thickBot="1" x14ac:dyDescent="0.35">
      <c r="A886" s="3" t="s">
        <v>56</v>
      </c>
      <c r="B886" s="2" t="s">
        <v>19</v>
      </c>
      <c r="C886" s="2" t="s">
        <v>23</v>
      </c>
      <c r="D886" s="2" t="s">
        <v>28</v>
      </c>
      <c r="E886" s="2" t="s">
        <v>10</v>
      </c>
      <c r="F886" s="4">
        <v>2893</v>
      </c>
    </row>
    <row r="887" spans="1:6" ht="15" thickBot="1" x14ac:dyDescent="0.35">
      <c r="A887" s="3" t="s">
        <v>213</v>
      </c>
      <c r="B887" s="2" t="s">
        <v>12</v>
      </c>
      <c r="C887" s="2" t="s">
        <v>13</v>
      </c>
      <c r="D887" s="2" t="s">
        <v>14</v>
      </c>
      <c r="E887" s="2" t="s">
        <v>10</v>
      </c>
      <c r="F887" s="4">
        <v>4115.76</v>
      </c>
    </row>
    <row r="888" spans="1:6" ht="15" thickBot="1" x14ac:dyDescent="0.35">
      <c r="A888" s="3" t="s">
        <v>6</v>
      </c>
      <c r="B888" s="2" t="s">
        <v>7</v>
      </c>
      <c r="C888" s="2" t="s">
        <v>34</v>
      </c>
      <c r="D888" s="2" t="s">
        <v>28</v>
      </c>
      <c r="E888" s="2" t="s">
        <v>15</v>
      </c>
      <c r="F888" s="4">
        <v>1917.42</v>
      </c>
    </row>
    <row r="889" spans="1:6" ht="15" thickBot="1" x14ac:dyDescent="0.35">
      <c r="A889" s="3" t="s">
        <v>127</v>
      </c>
      <c r="B889" s="2" t="s">
        <v>17</v>
      </c>
      <c r="C889" s="2" t="s">
        <v>34</v>
      </c>
      <c r="D889" s="2" t="s">
        <v>28</v>
      </c>
      <c r="E889" s="2" t="s">
        <v>10</v>
      </c>
      <c r="F889" s="4">
        <v>1203.1300000000001</v>
      </c>
    </row>
    <row r="890" spans="1:6" ht="15" thickBot="1" x14ac:dyDescent="0.35">
      <c r="A890" s="3" t="s">
        <v>123</v>
      </c>
      <c r="B890" s="2" t="s">
        <v>30</v>
      </c>
      <c r="C890" s="2" t="s">
        <v>34</v>
      </c>
      <c r="D890" s="2" t="s">
        <v>14</v>
      </c>
      <c r="E890" s="2" t="s">
        <v>10</v>
      </c>
      <c r="F890" s="4">
        <v>3085.38</v>
      </c>
    </row>
    <row r="891" spans="1:6" ht="15" thickBot="1" x14ac:dyDescent="0.35">
      <c r="A891" s="3" t="s">
        <v>72</v>
      </c>
      <c r="B891" s="2" t="s">
        <v>19</v>
      </c>
      <c r="C891" s="2" t="s">
        <v>34</v>
      </c>
      <c r="D891" s="2" t="s">
        <v>14</v>
      </c>
      <c r="E891" s="2" t="s">
        <v>24</v>
      </c>
      <c r="F891" s="4">
        <v>1942.8</v>
      </c>
    </row>
    <row r="892" spans="1:6" ht="15" thickBot="1" x14ac:dyDescent="0.35">
      <c r="A892" s="3" t="s">
        <v>124</v>
      </c>
      <c r="B892" s="2" t="s">
        <v>12</v>
      </c>
      <c r="C892" s="2" t="s">
        <v>13</v>
      </c>
      <c r="D892" s="2" t="s">
        <v>14</v>
      </c>
      <c r="E892" s="2" t="s">
        <v>10</v>
      </c>
      <c r="F892" s="4">
        <v>3632.78</v>
      </c>
    </row>
    <row r="893" spans="1:6" ht="15" thickBot="1" x14ac:dyDescent="0.35">
      <c r="A893" s="3" t="s">
        <v>54</v>
      </c>
      <c r="B893" s="2" t="s">
        <v>12</v>
      </c>
      <c r="C893" s="2" t="s">
        <v>23</v>
      </c>
      <c r="D893" s="2" t="s">
        <v>14</v>
      </c>
      <c r="E893" s="2" t="s">
        <v>15</v>
      </c>
      <c r="F893" s="4">
        <v>4435.1000000000004</v>
      </c>
    </row>
    <row r="894" spans="1:6" ht="15" thickBot="1" x14ac:dyDescent="0.35">
      <c r="A894" s="3" t="s">
        <v>201</v>
      </c>
      <c r="B894" s="2" t="s">
        <v>12</v>
      </c>
      <c r="C894" s="2" t="s">
        <v>13</v>
      </c>
      <c r="D894" s="2" t="s">
        <v>14</v>
      </c>
      <c r="E894" s="2" t="s">
        <v>24</v>
      </c>
      <c r="F894" s="4">
        <v>3104.04</v>
      </c>
    </row>
    <row r="895" spans="1:6" ht="15" thickBot="1" x14ac:dyDescent="0.35">
      <c r="A895" s="3" t="s">
        <v>162</v>
      </c>
      <c r="B895" s="2" t="s">
        <v>30</v>
      </c>
      <c r="C895" s="2" t="s">
        <v>13</v>
      </c>
      <c r="D895" s="2" t="s">
        <v>14</v>
      </c>
      <c r="E895" s="2" t="s">
        <v>24</v>
      </c>
      <c r="F895" s="4">
        <v>1562.42</v>
      </c>
    </row>
    <row r="896" spans="1:6" ht="15" thickBot="1" x14ac:dyDescent="0.35">
      <c r="A896" s="3" t="s">
        <v>143</v>
      </c>
      <c r="B896" s="2" t="s">
        <v>17</v>
      </c>
      <c r="C896" s="2" t="s">
        <v>23</v>
      </c>
      <c r="D896" s="2" t="s">
        <v>9</v>
      </c>
      <c r="E896" s="2" t="s">
        <v>15</v>
      </c>
      <c r="F896" s="4">
        <v>3968.0176780000002</v>
      </c>
    </row>
    <row r="897" spans="1:6" ht="15" thickBot="1" x14ac:dyDescent="0.35">
      <c r="A897" s="3" t="s">
        <v>98</v>
      </c>
      <c r="B897" s="2" t="s">
        <v>19</v>
      </c>
      <c r="C897" s="2" t="s">
        <v>23</v>
      </c>
      <c r="D897" s="2" t="s">
        <v>28</v>
      </c>
      <c r="E897" s="2" t="s">
        <v>10</v>
      </c>
      <c r="F897" s="4">
        <v>3813.14</v>
      </c>
    </row>
    <row r="898" spans="1:6" ht="15" thickBot="1" x14ac:dyDescent="0.35">
      <c r="A898" s="3" t="s">
        <v>189</v>
      </c>
      <c r="B898" s="2" t="s">
        <v>19</v>
      </c>
      <c r="C898" s="2" t="s">
        <v>8</v>
      </c>
      <c r="D898" s="2" t="s">
        <v>14</v>
      </c>
      <c r="E898" s="2" t="s">
        <v>10</v>
      </c>
      <c r="F898" s="4">
        <v>1512.54</v>
      </c>
    </row>
    <row r="899" spans="1:6" ht="15" thickBot="1" x14ac:dyDescent="0.35">
      <c r="A899" s="3" t="s">
        <v>74</v>
      </c>
      <c r="B899" s="2" t="s">
        <v>19</v>
      </c>
      <c r="C899" s="2" t="s">
        <v>13</v>
      </c>
      <c r="D899" s="2" t="s">
        <v>9</v>
      </c>
      <c r="E899" s="2" t="s">
        <v>24</v>
      </c>
      <c r="F899" s="4">
        <v>4044.946097</v>
      </c>
    </row>
    <row r="900" spans="1:6" ht="15" thickBot="1" x14ac:dyDescent="0.35">
      <c r="A900" s="3" t="s">
        <v>200</v>
      </c>
      <c r="B900" s="2" t="s">
        <v>30</v>
      </c>
      <c r="C900" s="2" t="s">
        <v>34</v>
      </c>
      <c r="D900" s="2" t="s">
        <v>14</v>
      </c>
      <c r="E900" s="2" t="s">
        <v>15</v>
      </c>
      <c r="F900" s="4">
        <v>193.32</v>
      </c>
    </row>
    <row r="901" spans="1:6" ht="15" thickBot="1" x14ac:dyDescent="0.35">
      <c r="A901" s="3" t="s">
        <v>178</v>
      </c>
      <c r="B901" s="2" t="s">
        <v>30</v>
      </c>
      <c r="C901" s="2" t="s">
        <v>23</v>
      </c>
      <c r="D901" s="2" t="s">
        <v>28</v>
      </c>
      <c r="E901" s="2" t="s">
        <v>24</v>
      </c>
      <c r="F901" s="4">
        <v>2881.41</v>
      </c>
    </row>
    <row r="902" spans="1:6" ht="15" thickBot="1" x14ac:dyDescent="0.35">
      <c r="A902" s="3" t="s">
        <v>38</v>
      </c>
      <c r="B902" s="2" t="s">
        <v>30</v>
      </c>
      <c r="C902" s="2" t="s">
        <v>13</v>
      </c>
      <c r="D902" s="2" t="s">
        <v>28</v>
      </c>
      <c r="E902" s="2" t="s">
        <v>15</v>
      </c>
      <c r="F902" s="4">
        <v>1949.55</v>
      </c>
    </row>
    <row r="903" spans="1:6" ht="15" thickBot="1" x14ac:dyDescent="0.35">
      <c r="A903" s="3" t="s">
        <v>142</v>
      </c>
      <c r="B903" s="2" t="s">
        <v>17</v>
      </c>
      <c r="C903" s="2" t="s">
        <v>8</v>
      </c>
      <c r="D903" s="2" t="s">
        <v>28</v>
      </c>
      <c r="E903" s="2" t="s">
        <v>24</v>
      </c>
      <c r="F903" s="4">
        <v>2729.42</v>
      </c>
    </row>
    <row r="904" spans="1:6" ht="15" thickBot="1" x14ac:dyDescent="0.35">
      <c r="A904" s="3" t="s">
        <v>150</v>
      </c>
      <c r="B904" s="2" t="s">
        <v>30</v>
      </c>
      <c r="C904" s="2" t="s">
        <v>34</v>
      </c>
      <c r="D904" s="2" t="s">
        <v>14</v>
      </c>
      <c r="E904" s="2" t="s">
        <v>10</v>
      </c>
      <c r="F904" s="4">
        <v>4965.24</v>
      </c>
    </row>
    <row r="905" spans="1:6" ht="15" thickBot="1" x14ac:dyDescent="0.35">
      <c r="A905" s="3" t="s">
        <v>215</v>
      </c>
      <c r="B905" s="2" t="s">
        <v>17</v>
      </c>
      <c r="C905" s="2" t="s">
        <v>34</v>
      </c>
      <c r="D905" s="2" t="s">
        <v>14</v>
      </c>
      <c r="E905" s="2" t="s">
        <v>24</v>
      </c>
      <c r="F905" s="4">
        <v>968.64</v>
      </c>
    </row>
    <row r="906" spans="1:6" ht="15" thickBot="1" x14ac:dyDescent="0.35">
      <c r="A906" s="3" t="s">
        <v>71</v>
      </c>
      <c r="B906" s="2" t="s">
        <v>7</v>
      </c>
      <c r="C906" s="2" t="s">
        <v>23</v>
      </c>
      <c r="D906" s="2" t="s">
        <v>28</v>
      </c>
      <c r="E906" s="2" t="s">
        <v>10</v>
      </c>
      <c r="F906" s="4">
        <v>2778.34</v>
      </c>
    </row>
    <row r="907" spans="1:6" ht="15" thickBot="1" x14ac:dyDescent="0.35">
      <c r="A907" s="3" t="s">
        <v>88</v>
      </c>
      <c r="B907" s="2" t="s">
        <v>7</v>
      </c>
      <c r="C907" s="2" t="s">
        <v>13</v>
      </c>
      <c r="D907" s="2" t="s">
        <v>28</v>
      </c>
      <c r="E907" s="2" t="s">
        <v>10</v>
      </c>
      <c r="F907" s="4">
        <v>901.71</v>
      </c>
    </row>
    <row r="908" spans="1:6" ht="15" thickBot="1" x14ac:dyDescent="0.35">
      <c r="A908" s="3" t="s">
        <v>44</v>
      </c>
      <c r="B908" s="2" t="s">
        <v>19</v>
      </c>
      <c r="C908" s="2" t="s">
        <v>34</v>
      </c>
      <c r="D908" s="2" t="s">
        <v>14</v>
      </c>
      <c r="E908" s="2" t="s">
        <v>10</v>
      </c>
      <c r="F908" s="4">
        <v>4031.94</v>
      </c>
    </row>
    <row r="909" spans="1:6" ht="15" thickBot="1" x14ac:dyDescent="0.35">
      <c r="A909" s="3" t="s">
        <v>124</v>
      </c>
      <c r="B909" s="2" t="s">
        <v>12</v>
      </c>
      <c r="C909" s="2" t="s">
        <v>8</v>
      </c>
      <c r="D909" s="2" t="s">
        <v>28</v>
      </c>
      <c r="E909" s="2" t="s">
        <v>24</v>
      </c>
      <c r="F909" s="4">
        <v>3868.62</v>
      </c>
    </row>
    <row r="910" spans="1:6" ht="15" thickBot="1" x14ac:dyDescent="0.35">
      <c r="A910" s="3" t="s">
        <v>135</v>
      </c>
      <c r="B910" s="2" t="s">
        <v>12</v>
      </c>
      <c r="C910" s="2" t="s">
        <v>34</v>
      </c>
      <c r="D910" s="2" t="s">
        <v>14</v>
      </c>
      <c r="E910" s="2" t="s">
        <v>24</v>
      </c>
      <c r="F910" s="4">
        <v>2670.34</v>
      </c>
    </row>
    <row r="911" spans="1:6" ht="15" thickBot="1" x14ac:dyDescent="0.35">
      <c r="A911" s="3" t="s">
        <v>57</v>
      </c>
      <c r="B911" s="2" t="s">
        <v>19</v>
      </c>
      <c r="C911" s="2" t="s">
        <v>13</v>
      </c>
      <c r="D911" s="2" t="s">
        <v>28</v>
      </c>
      <c r="E911" s="2" t="s">
        <v>10</v>
      </c>
      <c r="F911" s="4">
        <v>4061.97</v>
      </c>
    </row>
    <row r="912" spans="1:6" ht="15" thickBot="1" x14ac:dyDescent="0.35">
      <c r="A912" s="3" t="s">
        <v>61</v>
      </c>
      <c r="B912" s="2" t="s">
        <v>30</v>
      </c>
      <c r="C912" s="2" t="s">
        <v>23</v>
      </c>
      <c r="D912" s="2" t="s">
        <v>14</v>
      </c>
      <c r="E912" s="2" t="s">
        <v>15</v>
      </c>
      <c r="F912" s="4">
        <v>279.14</v>
      </c>
    </row>
    <row r="913" spans="1:6" ht="15" thickBot="1" x14ac:dyDescent="0.35">
      <c r="A913" s="3" t="s">
        <v>168</v>
      </c>
      <c r="B913" s="2" t="s">
        <v>17</v>
      </c>
      <c r="C913" s="2" t="s">
        <v>23</v>
      </c>
      <c r="D913" s="2" t="s">
        <v>9</v>
      </c>
      <c r="E913" s="2" t="s">
        <v>24</v>
      </c>
      <c r="F913" s="4">
        <v>936.92034809999996</v>
      </c>
    </row>
    <row r="914" spans="1:6" ht="15" thickBot="1" x14ac:dyDescent="0.35">
      <c r="A914" s="3" t="s">
        <v>65</v>
      </c>
      <c r="B914" s="2" t="s">
        <v>30</v>
      </c>
      <c r="C914" s="2" t="s">
        <v>8</v>
      </c>
      <c r="D914" s="2" t="s">
        <v>9</v>
      </c>
      <c r="E914" s="2" t="s">
        <v>24</v>
      </c>
      <c r="F914" s="4">
        <v>1890.569927</v>
      </c>
    </row>
    <row r="915" spans="1:6" ht="15" thickBot="1" x14ac:dyDescent="0.35">
      <c r="A915" s="3" t="s">
        <v>78</v>
      </c>
      <c r="B915" s="2" t="s">
        <v>7</v>
      </c>
      <c r="C915" s="2" t="s">
        <v>13</v>
      </c>
      <c r="D915" s="2" t="s">
        <v>9</v>
      </c>
      <c r="E915" s="2" t="s">
        <v>10</v>
      </c>
      <c r="F915" s="4">
        <v>4697.92</v>
      </c>
    </row>
    <row r="916" spans="1:6" ht="15" thickBot="1" x14ac:dyDescent="0.35">
      <c r="A916" s="3" t="s">
        <v>52</v>
      </c>
      <c r="B916" s="2" t="s">
        <v>19</v>
      </c>
      <c r="C916" s="2" t="s">
        <v>34</v>
      </c>
      <c r="D916" s="2" t="s">
        <v>28</v>
      </c>
      <c r="E916" s="2" t="s">
        <v>24</v>
      </c>
      <c r="F916" s="4">
        <v>3192.85</v>
      </c>
    </row>
    <row r="917" spans="1:6" ht="15" thickBot="1" x14ac:dyDescent="0.35">
      <c r="A917" s="3" t="s">
        <v>160</v>
      </c>
      <c r="B917" s="2" t="s">
        <v>30</v>
      </c>
      <c r="C917" s="2" t="s">
        <v>13</v>
      </c>
      <c r="D917" s="2" t="s">
        <v>9</v>
      </c>
      <c r="E917" s="2" t="s">
        <v>10</v>
      </c>
      <c r="F917" s="4">
        <v>3010.17</v>
      </c>
    </row>
    <row r="918" spans="1:6" ht="15" thickBot="1" x14ac:dyDescent="0.35">
      <c r="A918" s="3" t="s">
        <v>188</v>
      </c>
      <c r="B918" s="2" t="s">
        <v>19</v>
      </c>
      <c r="C918" s="2" t="s">
        <v>23</v>
      </c>
      <c r="D918" s="2" t="s">
        <v>9</v>
      </c>
      <c r="E918" s="2" t="s">
        <v>24</v>
      </c>
      <c r="F918" s="4">
        <v>4348.8599999999997</v>
      </c>
    </row>
    <row r="919" spans="1:6" ht="15" thickBot="1" x14ac:dyDescent="0.35">
      <c r="A919" s="3" t="s">
        <v>22</v>
      </c>
      <c r="B919" s="2" t="s">
        <v>12</v>
      </c>
      <c r="C919" s="2" t="s">
        <v>8</v>
      </c>
      <c r="D919" s="2" t="s">
        <v>9</v>
      </c>
      <c r="E919" s="2" t="s">
        <v>10</v>
      </c>
      <c r="F919" s="4">
        <v>4115.1509260000003</v>
      </c>
    </row>
    <row r="920" spans="1:6" ht="15" thickBot="1" x14ac:dyDescent="0.35">
      <c r="A920" s="3" t="s">
        <v>195</v>
      </c>
      <c r="B920" s="2" t="s">
        <v>7</v>
      </c>
      <c r="C920" s="2" t="s">
        <v>8</v>
      </c>
      <c r="D920" s="2" t="s">
        <v>28</v>
      </c>
      <c r="E920" s="2" t="s">
        <v>15</v>
      </c>
      <c r="F920" s="4">
        <v>4352.3</v>
      </c>
    </row>
    <row r="921" spans="1:6" ht="15" thickBot="1" x14ac:dyDescent="0.35">
      <c r="A921" s="3" t="s">
        <v>56</v>
      </c>
      <c r="B921" s="2" t="s">
        <v>19</v>
      </c>
      <c r="C921" s="2" t="s">
        <v>13</v>
      </c>
      <c r="D921" s="2" t="s">
        <v>9</v>
      </c>
      <c r="E921" s="2" t="s">
        <v>15</v>
      </c>
      <c r="F921" s="4">
        <v>3591.3304600000001</v>
      </c>
    </row>
    <row r="922" spans="1:6" ht="15" thickBot="1" x14ac:dyDescent="0.35">
      <c r="A922" s="3" t="s">
        <v>87</v>
      </c>
      <c r="B922" s="2" t="s">
        <v>12</v>
      </c>
      <c r="C922" s="2" t="s">
        <v>8</v>
      </c>
      <c r="D922" s="2" t="s">
        <v>28</v>
      </c>
      <c r="E922" s="2" t="s">
        <v>15</v>
      </c>
      <c r="F922" s="4">
        <v>3260.39</v>
      </c>
    </row>
    <row r="923" spans="1:6" ht="15" thickBot="1" x14ac:dyDescent="0.35">
      <c r="A923" s="3" t="s">
        <v>91</v>
      </c>
      <c r="B923" s="2" t="s">
        <v>30</v>
      </c>
      <c r="C923" s="2" t="s">
        <v>23</v>
      </c>
      <c r="D923" s="2" t="s">
        <v>14</v>
      </c>
      <c r="E923" s="2" t="s">
        <v>24</v>
      </c>
      <c r="F923" s="4">
        <v>1083.03</v>
      </c>
    </row>
    <row r="924" spans="1:6" ht="15" thickBot="1" x14ac:dyDescent="0.35">
      <c r="A924" s="3" t="s">
        <v>215</v>
      </c>
      <c r="B924" s="2" t="s">
        <v>17</v>
      </c>
      <c r="C924" s="2" t="s">
        <v>13</v>
      </c>
      <c r="D924" s="2" t="s">
        <v>28</v>
      </c>
      <c r="E924" s="2" t="s">
        <v>10</v>
      </c>
      <c r="F924" s="4">
        <v>2051.69</v>
      </c>
    </row>
    <row r="925" spans="1:6" ht="15" thickBot="1" x14ac:dyDescent="0.35">
      <c r="A925" s="3" t="s">
        <v>33</v>
      </c>
      <c r="B925" s="2" t="s">
        <v>19</v>
      </c>
      <c r="C925" s="2" t="s">
        <v>23</v>
      </c>
      <c r="D925" s="2" t="s">
        <v>28</v>
      </c>
      <c r="E925" s="2" t="s">
        <v>10</v>
      </c>
      <c r="F925" s="4">
        <v>2402.8200000000002</v>
      </c>
    </row>
    <row r="926" spans="1:6" ht="15" thickBot="1" x14ac:dyDescent="0.35">
      <c r="A926" s="3" t="s">
        <v>168</v>
      </c>
      <c r="B926" s="2" t="s">
        <v>17</v>
      </c>
      <c r="C926" s="2" t="s">
        <v>13</v>
      </c>
      <c r="D926" s="2" t="s">
        <v>9</v>
      </c>
      <c r="E926" s="2" t="s">
        <v>10</v>
      </c>
      <c r="F926" s="4">
        <v>1465.512424</v>
      </c>
    </row>
    <row r="927" spans="1:6" ht="15" thickBot="1" x14ac:dyDescent="0.35">
      <c r="A927" s="3" t="s">
        <v>129</v>
      </c>
      <c r="B927" s="2" t="s">
        <v>17</v>
      </c>
      <c r="C927" s="2" t="s">
        <v>8</v>
      </c>
      <c r="D927" s="2" t="s">
        <v>9</v>
      </c>
      <c r="E927" s="2" t="s">
        <v>10</v>
      </c>
      <c r="F927" s="4">
        <v>4841.5442560000001</v>
      </c>
    </row>
    <row r="928" spans="1:6" ht="15" thickBot="1" x14ac:dyDescent="0.35">
      <c r="A928" s="3" t="s">
        <v>206</v>
      </c>
      <c r="B928" s="2" t="s">
        <v>19</v>
      </c>
      <c r="C928" s="2" t="s">
        <v>34</v>
      </c>
      <c r="D928" s="2" t="s">
        <v>28</v>
      </c>
      <c r="E928" s="2" t="s">
        <v>10</v>
      </c>
      <c r="F928" s="4">
        <v>3187.8</v>
      </c>
    </row>
    <row r="929" spans="1:6" ht="15" thickBot="1" x14ac:dyDescent="0.35">
      <c r="A929" s="3" t="s">
        <v>129</v>
      </c>
      <c r="B929" s="2" t="s">
        <v>17</v>
      </c>
      <c r="C929" s="2" t="s">
        <v>34</v>
      </c>
      <c r="D929" s="2" t="s">
        <v>28</v>
      </c>
      <c r="E929" s="2" t="s">
        <v>24</v>
      </c>
      <c r="F929" s="4">
        <v>4547.92</v>
      </c>
    </row>
    <row r="930" spans="1:6" ht="15" thickBot="1" x14ac:dyDescent="0.35">
      <c r="A930" s="3" t="s">
        <v>135</v>
      </c>
      <c r="B930" s="2" t="s">
        <v>12</v>
      </c>
      <c r="C930" s="2" t="s">
        <v>13</v>
      </c>
      <c r="D930" s="2" t="s">
        <v>9</v>
      </c>
      <c r="E930" s="2" t="s">
        <v>10</v>
      </c>
      <c r="F930" s="4">
        <v>4751.75</v>
      </c>
    </row>
    <row r="931" spans="1:6" ht="15" thickBot="1" x14ac:dyDescent="0.35">
      <c r="A931" s="3" t="s">
        <v>49</v>
      </c>
      <c r="B931" s="2" t="s">
        <v>19</v>
      </c>
      <c r="C931" s="2" t="s">
        <v>13</v>
      </c>
      <c r="D931" s="2" t="s">
        <v>28</v>
      </c>
      <c r="E931" s="2" t="s">
        <v>10</v>
      </c>
      <c r="F931" s="4">
        <v>3218.33</v>
      </c>
    </row>
    <row r="932" spans="1:6" ht="15" thickBot="1" x14ac:dyDescent="0.35">
      <c r="A932" s="3" t="s">
        <v>177</v>
      </c>
      <c r="B932" s="2" t="s">
        <v>7</v>
      </c>
      <c r="C932" s="2" t="s">
        <v>23</v>
      </c>
      <c r="D932" s="2" t="s">
        <v>14</v>
      </c>
      <c r="E932" s="2" t="s">
        <v>24</v>
      </c>
      <c r="F932" s="4">
        <v>107.49</v>
      </c>
    </row>
    <row r="933" spans="1:6" ht="15" thickBot="1" x14ac:dyDescent="0.35">
      <c r="A933" s="3" t="s">
        <v>159</v>
      </c>
      <c r="B933" s="2" t="s">
        <v>7</v>
      </c>
      <c r="C933" s="2" t="s">
        <v>8</v>
      </c>
      <c r="D933" s="2" t="s">
        <v>28</v>
      </c>
      <c r="E933" s="2" t="s">
        <v>15</v>
      </c>
      <c r="F933" s="4">
        <v>4162.1899999999996</v>
      </c>
    </row>
    <row r="934" spans="1:6" ht="15" thickBot="1" x14ac:dyDescent="0.35">
      <c r="A934" s="3" t="s">
        <v>172</v>
      </c>
      <c r="B934" s="2" t="s">
        <v>7</v>
      </c>
      <c r="C934" s="2" t="s">
        <v>13</v>
      </c>
      <c r="D934" s="2" t="s">
        <v>14</v>
      </c>
      <c r="E934" s="2" t="s">
        <v>10</v>
      </c>
      <c r="F934" s="4">
        <v>1795.35</v>
      </c>
    </row>
    <row r="935" spans="1:6" ht="15" thickBot="1" x14ac:dyDescent="0.35">
      <c r="A935" s="3" t="s">
        <v>163</v>
      </c>
      <c r="B935" s="2" t="s">
        <v>19</v>
      </c>
      <c r="C935" s="2" t="s">
        <v>13</v>
      </c>
      <c r="D935" s="2" t="s">
        <v>14</v>
      </c>
      <c r="E935" s="2" t="s">
        <v>24</v>
      </c>
      <c r="F935" s="4">
        <v>930.97</v>
      </c>
    </row>
    <row r="936" spans="1:6" ht="15" thickBot="1" x14ac:dyDescent="0.35">
      <c r="A936" s="3" t="s">
        <v>143</v>
      </c>
      <c r="B936" s="2" t="s">
        <v>17</v>
      </c>
      <c r="C936" s="2" t="s">
        <v>23</v>
      </c>
      <c r="D936" s="2" t="s">
        <v>9</v>
      </c>
      <c r="E936" s="2" t="s">
        <v>10</v>
      </c>
      <c r="F936" s="4">
        <v>1962.973495</v>
      </c>
    </row>
    <row r="937" spans="1:6" ht="15" thickBot="1" x14ac:dyDescent="0.35">
      <c r="A937" s="3" t="s">
        <v>181</v>
      </c>
      <c r="B937" s="2" t="s">
        <v>30</v>
      </c>
      <c r="C937" s="2" t="s">
        <v>23</v>
      </c>
      <c r="D937" s="2" t="s">
        <v>14</v>
      </c>
      <c r="E937" s="2" t="s">
        <v>10</v>
      </c>
      <c r="F937" s="4">
        <v>4615.88</v>
      </c>
    </row>
    <row r="938" spans="1:6" ht="15" thickBot="1" x14ac:dyDescent="0.35">
      <c r="A938" s="3" t="s">
        <v>146</v>
      </c>
      <c r="B938" s="2" t="s">
        <v>7</v>
      </c>
      <c r="C938" s="2" t="s">
        <v>34</v>
      </c>
      <c r="D938" s="2" t="s">
        <v>28</v>
      </c>
      <c r="E938" s="2" t="s">
        <v>15</v>
      </c>
      <c r="F938" s="4">
        <v>1530.83</v>
      </c>
    </row>
    <row r="939" spans="1:6" ht="15" thickBot="1" x14ac:dyDescent="0.35">
      <c r="A939" s="3" t="s">
        <v>173</v>
      </c>
      <c r="B939" s="2" t="s">
        <v>30</v>
      </c>
      <c r="C939" s="2" t="s">
        <v>23</v>
      </c>
      <c r="D939" s="2" t="s">
        <v>9</v>
      </c>
      <c r="E939" s="2" t="s">
        <v>10</v>
      </c>
      <c r="F939" s="4">
        <v>2440.987615</v>
      </c>
    </row>
    <row r="940" spans="1:6" ht="15" thickBot="1" x14ac:dyDescent="0.35">
      <c r="A940" s="3" t="s">
        <v>121</v>
      </c>
      <c r="B940" s="2" t="s">
        <v>30</v>
      </c>
      <c r="C940" s="2" t="s">
        <v>8</v>
      </c>
      <c r="D940" s="2" t="s">
        <v>28</v>
      </c>
      <c r="E940" s="2" t="s">
        <v>24</v>
      </c>
      <c r="F940" s="4">
        <v>1674.72</v>
      </c>
    </row>
    <row r="941" spans="1:6" ht="15" thickBot="1" x14ac:dyDescent="0.35">
      <c r="A941" s="3" t="s">
        <v>50</v>
      </c>
      <c r="B941" s="2" t="s">
        <v>19</v>
      </c>
      <c r="C941" s="2" t="s">
        <v>13</v>
      </c>
      <c r="D941" s="2" t="s">
        <v>28</v>
      </c>
      <c r="E941" s="2" t="s">
        <v>15</v>
      </c>
      <c r="F941" s="4">
        <v>3245.74</v>
      </c>
    </row>
    <row r="942" spans="1:6" ht="15" thickBot="1" x14ac:dyDescent="0.35">
      <c r="A942" s="3" t="s">
        <v>214</v>
      </c>
      <c r="B942" s="2" t="s">
        <v>30</v>
      </c>
      <c r="C942" s="2" t="s">
        <v>8</v>
      </c>
      <c r="D942" s="2" t="s">
        <v>28</v>
      </c>
      <c r="E942" s="2" t="s">
        <v>15</v>
      </c>
      <c r="F942" s="4">
        <v>3114.72</v>
      </c>
    </row>
    <row r="943" spans="1:6" ht="15" thickBot="1" x14ac:dyDescent="0.35">
      <c r="A943" s="3" t="s">
        <v>101</v>
      </c>
      <c r="B943" s="2" t="s">
        <v>19</v>
      </c>
      <c r="C943" s="2" t="s">
        <v>13</v>
      </c>
      <c r="D943" s="2" t="s">
        <v>14</v>
      </c>
      <c r="E943" s="2" t="s">
        <v>15</v>
      </c>
      <c r="F943" s="4">
        <v>2078.6799999999998</v>
      </c>
    </row>
    <row r="944" spans="1:6" ht="15" thickBot="1" x14ac:dyDescent="0.35">
      <c r="A944" s="3" t="s">
        <v>137</v>
      </c>
      <c r="B944" s="2" t="s">
        <v>17</v>
      </c>
      <c r="C944" s="2" t="s">
        <v>8</v>
      </c>
      <c r="D944" s="2" t="s">
        <v>28</v>
      </c>
      <c r="E944" s="2" t="s">
        <v>15</v>
      </c>
      <c r="F944" s="4">
        <v>2458.83</v>
      </c>
    </row>
    <row r="945" spans="1:6" ht="15" thickBot="1" x14ac:dyDescent="0.35">
      <c r="A945" s="3" t="s">
        <v>126</v>
      </c>
      <c r="B945" s="2" t="s">
        <v>30</v>
      </c>
      <c r="C945" s="2" t="s">
        <v>23</v>
      </c>
      <c r="D945" s="2" t="s">
        <v>14</v>
      </c>
      <c r="E945" s="2" t="s">
        <v>15</v>
      </c>
      <c r="F945" s="4">
        <v>3902.33</v>
      </c>
    </row>
    <row r="946" spans="1:6" ht="15" thickBot="1" x14ac:dyDescent="0.35">
      <c r="A946" s="3" t="s">
        <v>22</v>
      </c>
      <c r="B946" s="2" t="s">
        <v>12</v>
      </c>
      <c r="C946" s="2" t="s">
        <v>23</v>
      </c>
      <c r="D946" s="2" t="s">
        <v>9</v>
      </c>
      <c r="E946" s="2" t="s">
        <v>10</v>
      </c>
      <c r="F946" s="4">
        <v>3436.6858299999999</v>
      </c>
    </row>
    <row r="947" spans="1:6" ht="15" thickBot="1" x14ac:dyDescent="0.35">
      <c r="A947" s="3" t="s">
        <v>133</v>
      </c>
      <c r="B947" s="2" t="s">
        <v>17</v>
      </c>
      <c r="C947" s="2" t="s">
        <v>23</v>
      </c>
      <c r="D947" s="2" t="s">
        <v>28</v>
      </c>
      <c r="E947" s="2" t="s">
        <v>24</v>
      </c>
      <c r="F947" s="4">
        <v>3373.97</v>
      </c>
    </row>
    <row r="948" spans="1:6" ht="15" thickBot="1" x14ac:dyDescent="0.35">
      <c r="A948" s="3" t="s">
        <v>202</v>
      </c>
      <c r="B948" s="2" t="s">
        <v>12</v>
      </c>
      <c r="C948" s="2" t="s">
        <v>8</v>
      </c>
      <c r="D948" s="2" t="s">
        <v>14</v>
      </c>
      <c r="E948" s="2" t="s">
        <v>15</v>
      </c>
      <c r="F948" s="4">
        <v>2524.3200000000002</v>
      </c>
    </row>
    <row r="949" spans="1:6" ht="15" thickBot="1" x14ac:dyDescent="0.35">
      <c r="A949" s="3" t="s">
        <v>67</v>
      </c>
      <c r="B949" s="2" t="s">
        <v>7</v>
      </c>
      <c r="C949" s="2" t="s">
        <v>13</v>
      </c>
      <c r="D949" s="2" t="s">
        <v>28</v>
      </c>
      <c r="E949" s="2" t="s">
        <v>24</v>
      </c>
      <c r="F949" s="4">
        <v>4152.62</v>
      </c>
    </row>
    <row r="950" spans="1:6" ht="15" thickBot="1" x14ac:dyDescent="0.35">
      <c r="A950" s="3" t="s">
        <v>159</v>
      </c>
      <c r="B950" s="2" t="s">
        <v>7</v>
      </c>
      <c r="C950" s="2" t="s">
        <v>13</v>
      </c>
      <c r="D950" s="2" t="s">
        <v>9</v>
      </c>
      <c r="E950" s="2" t="s">
        <v>15</v>
      </c>
      <c r="F950" s="4">
        <v>5429.1162919999997</v>
      </c>
    </row>
    <row r="951" spans="1:6" ht="15" thickBot="1" x14ac:dyDescent="0.35">
      <c r="A951" s="3" t="s">
        <v>193</v>
      </c>
      <c r="B951" s="2" t="s">
        <v>12</v>
      </c>
      <c r="C951" s="2" t="s">
        <v>23</v>
      </c>
      <c r="D951" s="2" t="s">
        <v>9</v>
      </c>
      <c r="E951" s="2" t="s">
        <v>24</v>
      </c>
      <c r="F951" s="4">
        <v>4835.4238480000004</v>
      </c>
    </row>
    <row r="952" spans="1:6" ht="15" thickBot="1" x14ac:dyDescent="0.35">
      <c r="A952" s="3" t="s">
        <v>101</v>
      </c>
      <c r="B952" s="2" t="s">
        <v>19</v>
      </c>
      <c r="C952" s="2" t="s">
        <v>23</v>
      </c>
      <c r="D952" s="2" t="s">
        <v>28</v>
      </c>
      <c r="E952" s="2" t="s">
        <v>15</v>
      </c>
      <c r="F952" s="4">
        <v>783.3</v>
      </c>
    </row>
    <row r="953" spans="1:6" ht="15" thickBot="1" x14ac:dyDescent="0.35">
      <c r="A953" s="3" t="s">
        <v>112</v>
      </c>
      <c r="B953" s="2" t="s">
        <v>30</v>
      </c>
      <c r="C953" s="2" t="s">
        <v>8</v>
      </c>
      <c r="D953" s="2" t="s">
        <v>28</v>
      </c>
      <c r="E953" s="2" t="s">
        <v>24</v>
      </c>
      <c r="F953" s="4">
        <v>4038.18</v>
      </c>
    </row>
    <row r="954" spans="1:6" ht="15" thickBot="1" x14ac:dyDescent="0.35">
      <c r="A954" s="3" t="s">
        <v>140</v>
      </c>
      <c r="B954" s="2" t="s">
        <v>17</v>
      </c>
      <c r="C954" s="2" t="s">
        <v>13</v>
      </c>
      <c r="D954" s="2" t="s">
        <v>9</v>
      </c>
      <c r="E954" s="2" t="s">
        <v>10</v>
      </c>
      <c r="F954" s="4">
        <v>4925.5299789999999</v>
      </c>
    </row>
    <row r="955" spans="1:6" ht="15" thickBot="1" x14ac:dyDescent="0.35">
      <c r="A955" s="3" t="s">
        <v>20</v>
      </c>
      <c r="B955" s="2" t="s">
        <v>17</v>
      </c>
      <c r="C955" s="2" t="s">
        <v>23</v>
      </c>
      <c r="D955" s="2" t="s">
        <v>9</v>
      </c>
      <c r="E955" s="2" t="s">
        <v>10</v>
      </c>
      <c r="F955" s="4">
        <v>2926.74557</v>
      </c>
    </row>
    <row r="956" spans="1:6" ht="15" thickBot="1" x14ac:dyDescent="0.35">
      <c r="A956" s="3" t="s">
        <v>170</v>
      </c>
      <c r="B956" s="2" t="s">
        <v>12</v>
      </c>
      <c r="C956" s="2" t="s">
        <v>8</v>
      </c>
      <c r="D956" s="2" t="s">
        <v>28</v>
      </c>
      <c r="E956" s="2" t="s">
        <v>15</v>
      </c>
      <c r="F956" s="4">
        <v>1931.14</v>
      </c>
    </row>
    <row r="957" spans="1:6" ht="15" thickBot="1" x14ac:dyDescent="0.35">
      <c r="A957" s="3" t="s">
        <v>80</v>
      </c>
      <c r="B957" s="2" t="s">
        <v>17</v>
      </c>
      <c r="C957" s="2" t="s">
        <v>13</v>
      </c>
      <c r="D957" s="2" t="s">
        <v>9</v>
      </c>
      <c r="E957" s="2" t="s">
        <v>24</v>
      </c>
      <c r="F957" s="4">
        <v>3586.9128329999999</v>
      </c>
    </row>
    <row r="958" spans="1:6" ht="15" thickBot="1" x14ac:dyDescent="0.35">
      <c r="A958" s="3" t="s">
        <v>217</v>
      </c>
      <c r="B958" s="2" t="s">
        <v>19</v>
      </c>
      <c r="C958" s="2" t="s">
        <v>34</v>
      </c>
      <c r="D958" s="2" t="s">
        <v>14</v>
      </c>
      <c r="E958" s="2" t="s">
        <v>15</v>
      </c>
      <c r="F958" s="4">
        <v>2192.19</v>
      </c>
    </row>
    <row r="959" spans="1:6" ht="15" thickBot="1" x14ac:dyDescent="0.35">
      <c r="A959" s="3" t="s">
        <v>55</v>
      </c>
      <c r="B959" s="2" t="s">
        <v>12</v>
      </c>
      <c r="C959" s="2" t="s">
        <v>34</v>
      </c>
      <c r="D959" s="2" t="s">
        <v>28</v>
      </c>
      <c r="E959" s="2" t="s">
        <v>15</v>
      </c>
      <c r="F959" s="4">
        <v>3113.98</v>
      </c>
    </row>
    <row r="960" spans="1:6" ht="15" thickBot="1" x14ac:dyDescent="0.35">
      <c r="A960" s="3" t="s">
        <v>142</v>
      </c>
      <c r="B960" s="2" t="s">
        <v>17</v>
      </c>
      <c r="C960" s="2" t="s">
        <v>34</v>
      </c>
      <c r="D960" s="2" t="s">
        <v>9</v>
      </c>
      <c r="E960" s="2" t="s">
        <v>10</v>
      </c>
      <c r="F960" s="4">
        <v>4943.0830340000002</v>
      </c>
    </row>
    <row r="961" spans="1:6" ht="15" thickBot="1" x14ac:dyDescent="0.35">
      <c r="A961" s="3" t="s">
        <v>214</v>
      </c>
      <c r="B961" s="2" t="s">
        <v>30</v>
      </c>
      <c r="C961" s="2" t="s">
        <v>8</v>
      </c>
      <c r="D961" s="2" t="s">
        <v>14</v>
      </c>
      <c r="E961" s="2" t="s">
        <v>15</v>
      </c>
      <c r="F961" s="4">
        <v>4608.99</v>
      </c>
    </row>
    <row r="962" spans="1:6" ht="15" thickBot="1" x14ac:dyDescent="0.35">
      <c r="A962" s="3" t="s">
        <v>56</v>
      </c>
      <c r="B962" s="2" t="s">
        <v>19</v>
      </c>
      <c r="C962" s="2" t="s">
        <v>13</v>
      </c>
      <c r="D962" s="2" t="s">
        <v>28</v>
      </c>
      <c r="E962" s="2" t="s">
        <v>15</v>
      </c>
      <c r="F962" s="4">
        <v>548.27</v>
      </c>
    </row>
    <row r="963" spans="1:6" ht="15" thickBot="1" x14ac:dyDescent="0.35">
      <c r="A963" s="3" t="s">
        <v>61</v>
      </c>
      <c r="B963" s="2" t="s">
        <v>30</v>
      </c>
      <c r="C963" s="2" t="s">
        <v>8</v>
      </c>
      <c r="D963" s="2" t="s">
        <v>9</v>
      </c>
      <c r="E963" s="2" t="s">
        <v>10</v>
      </c>
      <c r="F963" s="4">
        <v>2949.1193939999998</v>
      </c>
    </row>
    <row r="964" spans="1:6" ht="15" thickBot="1" x14ac:dyDescent="0.35">
      <c r="A964" s="3" t="s">
        <v>41</v>
      </c>
      <c r="B964" s="2" t="s">
        <v>30</v>
      </c>
      <c r="C964" s="2" t="s">
        <v>34</v>
      </c>
      <c r="D964" s="2" t="s">
        <v>9</v>
      </c>
      <c r="E964" s="2" t="s">
        <v>24</v>
      </c>
      <c r="F964" s="4">
        <v>2617.0703119999998</v>
      </c>
    </row>
    <row r="965" spans="1:6" ht="15" thickBot="1" x14ac:dyDescent="0.35">
      <c r="A965" s="3" t="s">
        <v>92</v>
      </c>
      <c r="B965" s="2" t="s">
        <v>30</v>
      </c>
      <c r="C965" s="2" t="s">
        <v>34</v>
      </c>
      <c r="D965" s="2" t="s">
        <v>14</v>
      </c>
      <c r="E965" s="2" t="s">
        <v>15</v>
      </c>
      <c r="F965" s="4">
        <v>4990.76</v>
      </c>
    </row>
    <row r="966" spans="1:6" ht="15" thickBot="1" x14ac:dyDescent="0.35">
      <c r="A966" s="3" t="s">
        <v>182</v>
      </c>
      <c r="B966" s="2" t="s">
        <v>12</v>
      </c>
      <c r="C966" s="2" t="s">
        <v>34</v>
      </c>
      <c r="D966" s="2" t="s">
        <v>28</v>
      </c>
      <c r="E966" s="2" t="s">
        <v>15</v>
      </c>
      <c r="F966" s="4">
        <v>922.25</v>
      </c>
    </row>
    <row r="967" spans="1:6" ht="15" thickBot="1" x14ac:dyDescent="0.35">
      <c r="A967" s="3" t="s">
        <v>68</v>
      </c>
      <c r="B967" s="2" t="s">
        <v>12</v>
      </c>
      <c r="C967" s="2" t="s">
        <v>23</v>
      </c>
      <c r="D967" s="2" t="s">
        <v>14</v>
      </c>
      <c r="E967" s="2" t="s">
        <v>15</v>
      </c>
      <c r="F967" s="4">
        <v>1919.35</v>
      </c>
    </row>
    <row r="968" spans="1:6" ht="15" thickBot="1" x14ac:dyDescent="0.35">
      <c r="A968" s="3" t="s">
        <v>192</v>
      </c>
      <c r="B968" s="2" t="s">
        <v>19</v>
      </c>
      <c r="C968" s="2" t="s">
        <v>34</v>
      </c>
      <c r="D968" s="2" t="s">
        <v>9</v>
      </c>
      <c r="E968" s="2" t="s">
        <v>24</v>
      </c>
      <c r="F968" s="4">
        <v>3296.9829679999998</v>
      </c>
    </row>
    <row r="969" spans="1:6" ht="15" thickBot="1" x14ac:dyDescent="0.35">
      <c r="A969" s="3" t="s">
        <v>102</v>
      </c>
      <c r="B969" s="2" t="s">
        <v>19</v>
      </c>
      <c r="C969" s="2" t="s">
        <v>13</v>
      </c>
      <c r="D969" s="2" t="s">
        <v>28</v>
      </c>
      <c r="E969" s="2" t="s">
        <v>24</v>
      </c>
      <c r="F969" s="4">
        <v>3879.07</v>
      </c>
    </row>
    <row r="970" spans="1:6" ht="15" thickBot="1" x14ac:dyDescent="0.35">
      <c r="A970" s="3" t="s">
        <v>177</v>
      </c>
      <c r="B970" s="2" t="s">
        <v>7</v>
      </c>
      <c r="C970" s="2" t="s">
        <v>23</v>
      </c>
      <c r="D970" s="2" t="s">
        <v>9</v>
      </c>
      <c r="E970" s="2" t="s">
        <v>15</v>
      </c>
      <c r="F970" s="4">
        <v>3326.9593620000001</v>
      </c>
    </row>
    <row r="971" spans="1:6" ht="15" thickBot="1" x14ac:dyDescent="0.35">
      <c r="A971" s="3" t="s">
        <v>113</v>
      </c>
      <c r="B971" s="2" t="s">
        <v>30</v>
      </c>
      <c r="C971" s="2" t="s">
        <v>13</v>
      </c>
      <c r="D971" s="2" t="s">
        <v>9</v>
      </c>
      <c r="E971" s="2" t="s">
        <v>15</v>
      </c>
      <c r="F971" s="4">
        <v>2620.3764460000002</v>
      </c>
    </row>
    <row r="972" spans="1:6" ht="15" thickBot="1" x14ac:dyDescent="0.35">
      <c r="A972" s="3" t="s">
        <v>100</v>
      </c>
      <c r="B972" s="2" t="s">
        <v>7</v>
      </c>
      <c r="C972" s="2" t="s">
        <v>23</v>
      </c>
      <c r="D972" s="2" t="s">
        <v>28</v>
      </c>
      <c r="E972" s="2" t="s">
        <v>10</v>
      </c>
      <c r="F972" s="4">
        <v>3511.53</v>
      </c>
    </row>
    <row r="973" spans="1:6" ht="15" thickBot="1" x14ac:dyDescent="0.35">
      <c r="A973" s="3" t="s">
        <v>200</v>
      </c>
      <c r="B973" s="2" t="s">
        <v>30</v>
      </c>
      <c r="C973" s="2" t="s">
        <v>8</v>
      </c>
      <c r="D973" s="2" t="s">
        <v>28</v>
      </c>
      <c r="E973" s="2" t="s">
        <v>15</v>
      </c>
      <c r="F973" s="4">
        <v>402.68</v>
      </c>
    </row>
    <row r="974" spans="1:6" ht="15" thickBot="1" x14ac:dyDescent="0.35">
      <c r="A974" s="3" t="s">
        <v>147</v>
      </c>
      <c r="B974" s="2" t="s">
        <v>17</v>
      </c>
      <c r="C974" s="2" t="s">
        <v>34</v>
      </c>
      <c r="D974" s="2" t="s">
        <v>14</v>
      </c>
      <c r="E974" s="2" t="s">
        <v>10</v>
      </c>
      <c r="F974" s="4">
        <v>3834.83</v>
      </c>
    </row>
    <row r="975" spans="1:6" ht="15" thickBot="1" x14ac:dyDescent="0.35">
      <c r="A975" s="3" t="s">
        <v>123</v>
      </c>
      <c r="B975" s="2" t="s">
        <v>30</v>
      </c>
      <c r="C975" s="2" t="s">
        <v>13</v>
      </c>
      <c r="D975" s="2" t="s">
        <v>14</v>
      </c>
      <c r="E975" s="2" t="s">
        <v>15</v>
      </c>
      <c r="F975" s="4">
        <v>2705.01</v>
      </c>
    </row>
    <row r="976" spans="1:6" ht="15" thickBot="1" x14ac:dyDescent="0.35">
      <c r="A976" s="3" t="s">
        <v>151</v>
      </c>
      <c r="B976" s="2" t="s">
        <v>12</v>
      </c>
      <c r="C976" s="2" t="s">
        <v>13</v>
      </c>
      <c r="D976" s="2" t="s">
        <v>14</v>
      </c>
      <c r="E976" s="2" t="s">
        <v>15</v>
      </c>
      <c r="F976" s="4">
        <v>2242.38</v>
      </c>
    </row>
    <row r="977" spans="1:6" ht="15" thickBot="1" x14ac:dyDescent="0.35">
      <c r="A977" s="3" t="s">
        <v>58</v>
      </c>
      <c r="B977" s="2" t="s">
        <v>17</v>
      </c>
      <c r="C977" s="2" t="s">
        <v>34</v>
      </c>
      <c r="D977" s="2" t="s">
        <v>9</v>
      </c>
      <c r="E977" s="2" t="s">
        <v>15</v>
      </c>
      <c r="F977" s="4">
        <v>1860.7437640000001</v>
      </c>
    </row>
    <row r="978" spans="1:6" ht="15" thickBot="1" x14ac:dyDescent="0.35">
      <c r="A978" s="3" t="s">
        <v>66</v>
      </c>
      <c r="B978" s="2" t="s">
        <v>30</v>
      </c>
      <c r="C978" s="2" t="s">
        <v>8</v>
      </c>
      <c r="D978" s="2" t="s">
        <v>28</v>
      </c>
      <c r="E978" s="2" t="s">
        <v>24</v>
      </c>
      <c r="F978" s="4">
        <v>2978.15</v>
      </c>
    </row>
    <row r="979" spans="1:6" ht="15" thickBot="1" x14ac:dyDescent="0.35">
      <c r="A979" s="3" t="s">
        <v>197</v>
      </c>
      <c r="B979" s="2" t="s">
        <v>30</v>
      </c>
      <c r="C979" s="2" t="s">
        <v>23</v>
      </c>
      <c r="D979" s="2" t="s">
        <v>28</v>
      </c>
      <c r="E979" s="2" t="s">
        <v>10</v>
      </c>
      <c r="F979" s="4">
        <v>1338.04</v>
      </c>
    </row>
    <row r="980" spans="1:6" ht="15" thickBot="1" x14ac:dyDescent="0.35">
      <c r="A980" s="3" t="s">
        <v>65</v>
      </c>
      <c r="B980" s="2" t="s">
        <v>30</v>
      </c>
      <c r="C980" s="2" t="s">
        <v>34</v>
      </c>
      <c r="D980" s="2" t="s">
        <v>28</v>
      </c>
      <c r="E980" s="2" t="s">
        <v>24</v>
      </c>
      <c r="F980" s="4">
        <v>2538.44</v>
      </c>
    </row>
    <row r="981" spans="1:6" ht="15" thickBot="1" x14ac:dyDescent="0.35">
      <c r="A981" s="3" t="s">
        <v>210</v>
      </c>
      <c r="B981" s="2" t="s">
        <v>7</v>
      </c>
      <c r="C981" s="2" t="s">
        <v>13</v>
      </c>
      <c r="D981" s="2" t="s">
        <v>28</v>
      </c>
      <c r="E981" s="2" t="s">
        <v>24</v>
      </c>
      <c r="F981" s="4">
        <v>1644.11</v>
      </c>
    </row>
    <row r="982" spans="1:6" ht="15" thickBot="1" x14ac:dyDescent="0.35">
      <c r="A982" s="3" t="s">
        <v>166</v>
      </c>
      <c r="B982" s="2" t="s">
        <v>7</v>
      </c>
      <c r="C982" s="2" t="s">
        <v>13</v>
      </c>
      <c r="D982" s="2" t="s">
        <v>14</v>
      </c>
      <c r="E982" s="2" t="s">
        <v>15</v>
      </c>
      <c r="F982" s="4">
        <v>3858.7</v>
      </c>
    </row>
    <row r="983" spans="1:6" ht="15" thickBot="1" x14ac:dyDescent="0.35">
      <c r="A983" s="3" t="s">
        <v>112</v>
      </c>
      <c r="B983" s="2" t="s">
        <v>30</v>
      </c>
      <c r="C983" s="2" t="s">
        <v>34</v>
      </c>
      <c r="D983" s="2" t="s">
        <v>28</v>
      </c>
      <c r="E983" s="2" t="s">
        <v>24</v>
      </c>
      <c r="F983" s="4">
        <v>2079.69</v>
      </c>
    </row>
    <row r="984" spans="1:6" ht="15" thickBot="1" x14ac:dyDescent="0.35">
      <c r="A984" s="3" t="s">
        <v>77</v>
      </c>
      <c r="B984" s="2" t="s">
        <v>30</v>
      </c>
      <c r="C984" s="2" t="s">
        <v>8</v>
      </c>
      <c r="D984" s="2" t="s">
        <v>28</v>
      </c>
      <c r="E984" s="2" t="s">
        <v>15</v>
      </c>
      <c r="F984" s="4">
        <v>439.97</v>
      </c>
    </row>
    <row r="985" spans="1:6" ht="15" thickBot="1" x14ac:dyDescent="0.35">
      <c r="A985" s="3" t="s">
        <v>176</v>
      </c>
      <c r="B985" s="2" t="s">
        <v>19</v>
      </c>
      <c r="C985" s="2" t="s">
        <v>23</v>
      </c>
      <c r="D985" s="2" t="s">
        <v>28</v>
      </c>
      <c r="E985" s="2" t="s">
        <v>10</v>
      </c>
      <c r="F985" s="4">
        <v>1486</v>
      </c>
    </row>
    <row r="986" spans="1:6" ht="15" thickBot="1" x14ac:dyDescent="0.35">
      <c r="A986" s="3" t="s">
        <v>179</v>
      </c>
      <c r="B986" s="2" t="s">
        <v>7</v>
      </c>
      <c r="C986" s="2" t="s">
        <v>23</v>
      </c>
      <c r="D986" s="2" t="s">
        <v>9</v>
      </c>
      <c r="E986" s="2" t="s">
        <v>24</v>
      </c>
      <c r="F986" s="4">
        <v>396.69632039999999</v>
      </c>
    </row>
    <row r="987" spans="1:6" ht="15" thickBot="1" x14ac:dyDescent="0.35">
      <c r="A987" s="3" t="s">
        <v>135</v>
      </c>
      <c r="B987" s="2" t="s">
        <v>12</v>
      </c>
      <c r="C987" s="2" t="s">
        <v>13</v>
      </c>
      <c r="D987" s="2" t="s">
        <v>9</v>
      </c>
      <c r="E987" s="2" t="s">
        <v>15</v>
      </c>
      <c r="F987" s="4">
        <v>1724.46</v>
      </c>
    </row>
    <row r="988" spans="1:6" ht="15" thickBot="1" x14ac:dyDescent="0.35">
      <c r="A988" s="3" t="s">
        <v>77</v>
      </c>
      <c r="B988" s="2" t="s">
        <v>30</v>
      </c>
      <c r="C988" s="2" t="s">
        <v>23</v>
      </c>
      <c r="D988" s="2" t="s">
        <v>28</v>
      </c>
      <c r="E988" s="2" t="s">
        <v>15</v>
      </c>
      <c r="F988" s="4">
        <v>3569.77</v>
      </c>
    </row>
    <row r="989" spans="1:6" ht="15" thickBot="1" x14ac:dyDescent="0.35">
      <c r="A989" s="3" t="s">
        <v>151</v>
      </c>
      <c r="B989" s="2" t="s">
        <v>12</v>
      </c>
      <c r="C989" s="2" t="s">
        <v>8</v>
      </c>
      <c r="D989" s="2" t="s">
        <v>14</v>
      </c>
      <c r="E989" s="2" t="s">
        <v>10</v>
      </c>
      <c r="F989" s="4">
        <v>1244.99</v>
      </c>
    </row>
    <row r="990" spans="1:6" ht="15" thickBot="1" x14ac:dyDescent="0.35">
      <c r="A990" s="3" t="s">
        <v>218</v>
      </c>
      <c r="B990" s="2" t="s">
        <v>17</v>
      </c>
      <c r="C990" s="2" t="s">
        <v>13</v>
      </c>
      <c r="D990" s="2" t="s">
        <v>9</v>
      </c>
      <c r="E990" s="2" t="s">
        <v>10</v>
      </c>
      <c r="F990" s="4">
        <v>4645.6365770000002</v>
      </c>
    </row>
    <row r="991" spans="1:6" ht="15" thickBot="1" x14ac:dyDescent="0.35">
      <c r="A991" s="3" t="s">
        <v>106</v>
      </c>
      <c r="B991" s="2" t="s">
        <v>12</v>
      </c>
      <c r="C991" s="2" t="s">
        <v>8</v>
      </c>
      <c r="D991" s="2" t="s">
        <v>9</v>
      </c>
      <c r="E991" s="2" t="s">
        <v>24</v>
      </c>
      <c r="F991" s="4">
        <v>3635.37</v>
      </c>
    </row>
    <row r="992" spans="1:6" ht="15" thickBot="1" x14ac:dyDescent="0.35">
      <c r="A992" s="3" t="s">
        <v>87</v>
      </c>
      <c r="B992" s="2" t="s">
        <v>12</v>
      </c>
      <c r="C992" s="2" t="s">
        <v>13</v>
      </c>
      <c r="D992" s="2" t="s">
        <v>9</v>
      </c>
      <c r="E992" s="2" t="s">
        <v>24</v>
      </c>
      <c r="F992" s="4">
        <v>4563.1180219999997</v>
      </c>
    </row>
    <row r="993" spans="1:6" ht="15" thickBot="1" x14ac:dyDescent="0.35">
      <c r="A993" s="3" t="s">
        <v>20</v>
      </c>
      <c r="B993" s="2" t="s">
        <v>17</v>
      </c>
      <c r="C993" s="2" t="s">
        <v>8</v>
      </c>
      <c r="D993" s="2" t="s">
        <v>9</v>
      </c>
      <c r="E993" s="2" t="s">
        <v>15</v>
      </c>
      <c r="F993" s="4">
        <v>1337.435551</v>
      </c>
    </row>
    <row r="994" spans="1:6" ht="15" thickBot="1" x14ac:dyDescent="0.35">
      <c r="A994" s="3" t="s">
        <v>136</v>
      </c>
      <c r="B994" s="2" t="s">
        <v>17</v>
      </c>
      <c r="C994" s="2" t="s">
        <v>23</v>
      </c>
      <c r="D994" s="2" t="s">
        <v>9</v>
      </c>
      <c r="E994" s="2" t="s">
        <v>24</v>
      </c>
      <c r="F994" s="4">
        <v>527.43320610000001</v>
      </c>
    </row>
    <row r="995" spans="1:6" ht="15" thickBot="1" x14ac:dyDescent="0.35">
      <c r="A995" s="3" t="s">
        <v>190</v>
      </c>
      <c r="B995" s="2" t="s">
        <v>17</v>
      </c>
      <c r="C995" s="2" t="s">
        <v>34</v>
      </c>
      <c r="D995" s="2" t="s">
        <v>14</v>
      </c>
      <c r="E995" s="2" t="s">
        <v>10</v>
      </c>
      <c r="F995" s="4">
        <v>1979.48</v>
      </c>
    </row>
    <row r="996" spans="1:6" ht="15" thickBot="1" x14ac:dyDescent="0.35">
      <c r="A996" s="3" t="s">
        <v>99</v>
      </c>
      <c r="B996" s="2" t="s">
        <v>19</v>
      </c>
      <c r="C996" s="2" t="s">
        <v>23</v>
      </c>
      <c r="D996" s="2" t="s">
        <v>9</v>
      </c>
      <c r="E996" s="2" t="s">
        <v>15</v>
      </c>
      <c r="F996" s="4">
        <v>2025.95</v>
      </c>
    </row>
    <row r="997" spans="1:6" ht="15" thickBot="1" x14ac:dyDescent="0.35">
      <c r="A997" s="3" t="s">
        <v>20</v>
      </c>
      <c r="B997" s="2" t="s">
        <v>17</v>
      </c>
      <c r="C997" s="2" t="s">
        <v>13</v>
      </c>
      <c r="D997" s="2" t="s">
        <v>28</v>
      </c>
      <c r="E997" s="2" t="s">
        <v>15</v>
      </c>
      <c r="F997" s="4">
        <v>4195.17</v>
      </c>
    </row>
    <row r="998" spans="1:6" ht="15" thickBot="1" x14ac:dyDescent="0.35">
      <c r="A998" s="3" t="s">
        <v>125</v>
      </c>
      <c r="B998" s="2" t="s">
        <v>7</v>
      </c>
      <c r="C998" s="2" t="s">
        <v>8</v>
      </c>
      <c r="D998" s="2" t="s">
        <v>28</v>
      </c>
      <c r="E998" s="2" t="s">
        <v>24</v>
      </c>
      <c r="F998" s="4">
        <v>2104.08</v>
      </c>
    </row>
    <row r="999" spans="1:6" ht="15" thickBot="1" x14ac:dyDescent="0.35">
      <c r="A999" s="3" t="s">
        <v>49</v>
      </c>
      <c r="B999" s="2" t="s">
        <v>19</v>
      </c>
      <c r="C999" s="2" t="s">
        <v>8</v>
      </c>
      <c r="D999" s="2" t="s">
        <v>28</v>
      </c>
      <c r="E999" s="2" t="s">
        <v>15</v>
      </c>
      <c r="F999" s="4">
        <v>4229.93</v>
      </c>
    </row>
    <row r="1000" spans="1:6" ht="15" thickBot="1" x14ac:dyDescent="0.35">
      <c r="A1000" s="3" t="s">
        <v>143</v>
      </c>
      <c r="B1000" s="2" t="s">
        <v>17</v>
      </c>
      <c r="C1000" s="2" t="s">
        <v>8</v>
      </c>
      <c r="D1000" s="2" t="s">
        <v>14</v>
      </c>
      <c r="E1000" s="2" t="s">
        <v>15</v>
      </c>
      <c r="F1000" s="4">
        <v>3136.15</v>
      </c>
    </row>
    <row r="1001" spans="1:6" ht="15" thickBot="1" x14ac:dyDescent="0.35">
      <c r="A1001" s="3" t="s">
        <v>182</v>
      </c>
      <c r="B1001" s="2" t="s">
        <v>12</v>
      </c>
      <c r="C1001" s="2" t="s">
        <v>34</v>
      </c>
      <c r="D1001" s="2" t="s">
        <v>9</v>
      </c>
      <c r="E1001" s="2" t="s">
        <v>24</v>
      </c>
      <c r="F1001" s="4">
        <v>1959.3291340000001</v>
      </c>
    </row>
    <row r="1002" spans="1:6" ht="15" thickBot="1" x14ac:dyDescent="0.35">
      <c r="A1002" s="3" t="s">
        <v>134</v>
      </c>
      <c r="B1002" s="2" t="s">
        <v>7</v>
      </c>
      <c r="C1002" s="2" t="s">
        <v>8</v>
      </c>
      <c r="D1002" s="2" t="s">
        <v>9</v>
      </c>
      <c r="E1002" s="2" t="s">
        <v>24</v>
      </c>
      <c r="F1002" s="4">
        <v>1221.953049</v>
      </c>
    </row>
    <row r="1003" spans="1:6" ht="15" thickBot="1" x14ac:dyDescent="0.35">
      <c r="A1003" s="3" t="s">
        <v>92</v>
      </c>
      <c r="B1003" s="2" t="s">
        <v>30</v>
      </c>
      <c r="C1003" s="2" t="s">
        <v>13</v>
      </c>
      <c r="D1003" s="2" t="s">
        <v>28</v>
      </c>
      <c r="E1003" s="2" t="s">
        <v>10</v>
      </c>
      <c r="F1003" s="4">
        <v>300.75</v>
      </c>
    </row>
    <row r="1004" spans="1:6" ht="15" thickBot="1" x14ac:dyDescent="0.35">
      <c r="A1004" s="3" t="s">
        <v>107</v>
      </c>
      <c r="B1004" s="2" t="s">
        <v>30</v>
      </c>
      <c r="C1004" s="2" t="s">
        <v>23</v>
      </c>
      <c r="D1004" s="2" t="s">
        <v>28</v>
      </c>
      <c r="E1004" s="2" t="s">
        <v>24</v>
      </c>
      <c r="F1004" s="4">
        <v>4099.18</v>
      </c>
    </row>
    <row r="1005" spans="1:6" ht="15" thickBot="1" x14ac:dyDescent="0.35">
      <c r="A1005" s="3" t="s">
        <v>50</v>
      </c>
      <c r="B1005" s="2" t="s">
        <v>19</v>
      </c>
      <c r="C1005" s="2" t="s">
        <v>13</v>
      </c>
      <c r="D1005" s="2" t="s">
        <v>14</v>
      </c>
      <c r="E1005" s="2" t="s">
        <v>10</v>
      </c>
      <c r="F1005" s="4">
        <v>104.53</v>
      </c>
    </row>
    <row r="1006" spans="1:6" ht="15" thickBot="1" x14ac:dyDescent="0.35">
      <c r="A1006" s="3" t="s">
        <v>172</v>
      </c>
      <c r="B1006" s="2" t="s">
        <v>7</v>
      </c>
      <c r="C1006" s="2" t="s">
        <v>34</v>
      </c>
      <c r="D1006" s="2" t="s">
        <v>14</v>
      </c>
      <c r="E1006" s="2" t="s">
        <v>24</v>
      </c>
      <c r="F1006" s="4">
        <v>2781</v>
      </c>
    </row>
    <row r="1007" spans="1:6" ht="15" thickBot="1" x14ac:dyDescent="0.35">
      <c r="A1007" s="3" t="s">
        <v>20</v>
      </c>
      <c r="B1007" s="2" t="s">
        <v>17</v>
      </c>
      <c r="C1007" s="2" t="s">
        <v>23</v>
      </c>
      <c r="D1007" s="2" t="s">
        <v>9</v>
      </c>
      <c r="E1007" s="2" t="s">
        <v>24</v>
      </c>
      <c r="F1007" s="4">
        <v>3597.303453</v>
      </c>
    </row>
    <row r="1008" spans="1:6" ht="15" thickBot="1" x14ac:dyDescent="0.35">
      <c r="A1008" s="3" t="s">
        <v>174</v>
      </c>
      <c r="B1008" s="2" t="s">
        <v>19</v>
      </c>
      <c r="C1008" s="2" t="s">
        <v>23</v>
      </c>
      <c r="D1008" s="2" t="s">
        <v>28</v>
      </c>
      <c r="E1008" s="2" t="s">
        <v>24</v>
      </c>
      <c r="F1008" s="4">
        <v>2055.7399999999998</v>
      </c>
    </row>
    <row r="1009" spans="1:6" ht="15" thickBot="1" x14ac:dyDescent="0.35">
      <c r="A1009" s="3" t="s">
        <v>167</v>
      </c>
      <c r="B1009" s="2" t="s">
        <v>30</v>
      </c>
      <c r="C1009" s="2" t="s">
        <v>23</v>
      </c>
      <c r="D1009" s="2" t="s">
        <v>14</v>
      </c>
      <c r="E1009" s="2" t="s">
        <v>10</v>
      </c>
      <c r="F1009" s="4">
        <v>437.58</v>
      </c>
    </row>
    <row r="1010" spans="1:6" ht="15" thickBot="1" x14ac:dyDescent="0.35">
      <c r="A1010" s="3" t="s">
        <v>185</v>
      </c>
      <c r="B1010" s="2" t="s">
        <v>30</v>
      </c>
      <c r="C1010" s="2" t="s">
        <v>13</v>
      </c>
      <c r="D1010" s="2" t="s">
        <v>28</v>
      </c>
      <c r="E1010" s="2" t="s">
        <v>10</v>
      </c>
      <c r="F1010" s="4">
        <v>3087.52</v>
      </c>
    </row>
    <row r="1011" spans="1:6" ht="15" thickBot="1" x14ac:dyDescent="0.35">
      <c r="A1011" s="3" t="s">
        <v>190</v>
      </c>
      <c r="B1011" s="2" t="s">
        <v>17</v>
      </c>
      <c r="C1011" s="2" t="s">
        <v>13</v>
      </c>
      <c r="D1011" s="2" t="s">
        <v>9</v>
      </c>
      <c r="E1011" s="2" t="s">
        <v>10</v>
      </c>
      <c r="F1011" s="4">
        <v>2226.371185</v>
      </c>
    </row>
    <row r="1012" spans="1:6" ht="15" thickBot="1" x14ac:dyDescent="0.35">
      <c r="A1012" s="3" t="s">
        <v>211</v>
      </c>
      <c r="B1012" s="2" t="s">
        <v>7</v>
      </c>
      <c r="C1012" s="2" t="s">
        <v>8</v>
      </c>
      <c r="D1012" s="2" t="s">
        <v>28</v>
      </c>
      <c r="E1012" s="2" t="s">
        <v>10</v>
      </c>
      <c r="F1012" s="4">
        <v>769.29</v>
      </c>
    </row>
    <row r="1013" spans="1:6" ht="15" thickBot="1" x14ac:dyDescent="0.35">
      <c r="A1013" s="3" t="s">
        <v>27</v>
      </c>
      <c r="B1013" s="2" t="s">
        <v>12</v>
      </c>
      <c r="C1013" s="2" t="s">
        <v>23</v>
      </c>
      <c r="D1013" s="2" t="s">
        <v>28</v>
      </c>
      <c r="E1013" s="2" t="s">
        <v>24</v>
      </c>
      <c r="F1013" s="4">
        <v>3008.89</v>
      </c>
    </row>
    <row r="1014" spans="1:6" ht="15" thickBot="1" x14ac:dyDescent="0.35">
      <c r="A1014" s="3" t="s">
        <v>121</v>
      </c>
      <c r="B1014" s="2" t="s">
        <v>30</v>
      </c>
      <c r="C1014" s="2" t="s">
        <v>34</v>
      </c>
      <c r="D1014" s="2" t="s">
        <v>9</v>
      </c>
      <c r="E1014" s="2" t="s">
        <v>10</v>
      </c>
      <c r="F1014" s="4">
        <v>1802.2968639999999</v>
      </c>
    </row>
    <row r="1015" spans="1:6" ht="15" thickBot="1" x14ac:dyDescent="0.35">
      <c r="A1015" s="3" t="s">
        <v>121</v>
      </c>
      <c r="B1015" s="2" t="s">
        <v>30</v>
      </c>
      <c r="C1015" s="2" t="s">
        <v>34</v>
      </c>
      <c r="D1015" s="2" t="s">
        <v>28</v>
      </c>
      <c r="E1015" s="2" t="s">
        <v>10</v>
      </c>
      <c r="F1015" s="4">
        <v>3707.94</v>
      </c>
    </row>
    <row r="1016" spans="1:6" ht="15" thickBot="1" x14ac:dyDescent="0.35">
      <c r="A1016" s="3" t="s">
        <v>128</v>
      </c>
      <c r="B1016" s="2" t="s">
        <v>12</v>
      </c>
      <c r="C1016" s="2" t="s">
        <v>13</v>
      </c>
      <c r="D1016" s="2" t="s">
        <v>9</v>
      </c>
      <c r="E1016" s="2" t="s">
        <v>10</v>
      </c>
      <c r="F1016" s="4">
        <v>3134.2444770000002</v>
      </c>
    </row>
    <row r="1017" spans="1:6" ht="15" thickBot="1" x14ac:dyDescent="0.35">
      <c r="A1017" s="3" t="s">
        <v>29</v>
      </c>
      <c r="B1017" s="2" t="s">
        <v>30</v>
      </c>
      <c r="C1017" s="2" t="s">
        <v>23</v>
      </c>
      <c r="D1017" s="2" t="s">
        <v>28</v>
      </c>
      <c r="E1017" s="2" t="s">
        <v>15</v>
      </c>
      <c r="F1017" s="4">
        <v>1671.05</v>
      </c>
    </row>
    <row r="1018" spans="1:6" ht="15" thickBot="1" x14ac:dyDescent="0.35">
      <c r="A1018" s="3" t="s">
        <v>90</v>
      </c>
      <c r="B1018" s="2" t="s">
        <v>19</v>
      </c>
      <c r="C1018" s="2" t="s">
        <v>8</v>
      </c>
      <c r="D1018" s="2" t="s">
        <v>9</v>
      </c>
      <c r="E1018" s="2" t="s">
        <v>15</v>
      </c>
      <c r="F1018" s="4">
        <v>456.60088710000002</v>
      </c>
    </row>
    <row r="1019" spans="1:6" ht="15" thickBot="1" x14ac:dyDescent="0.35">
      <c r="A1019" s="3" t="s">
        <v>140</v>
      </c>
      <c r="B1019" s="2" t="s">
        <v>17</v>
      </c>
      <c r="C1019" s="2" t="s">
        <v>8</v>
      </c>
      <c r="D1019" s="2" t="s">
        <v>14</v>
      </c>
      <c r="E1019" s="2" t="s">
        <v>10</v>
      </c>
      <c r="F1019" s="4">
        <v>4237.93</v>
      </c>
    </row>
    <row r="1020" spans="1:6" ht="15" thickBot="1" x14ac:dyDescent="0.35">
      <c r="A1020" s="3" t="s">
        <v>203</v>
      </c>
      <c r="B1020" s="2" t="s">
        <v>12</v>
      </c>
      <c r="C1020" s="2" t="s">
        <v>23</v>
      </c>
      <c r="D1020" s="2" t="s">
        <v>9</v>
      </c>
      <c r="E1020" s="2" t="s">
        <v>24</v>
      </c>
      <c r="F1020" s="4">
        <v>4750.1918850000002</v>
      </c>
    </row>
    <row r="1021" spans="1:6" ht="15" thickBot="1" x14ac:dyDescent="0.35">
      <c r="A1021" s="3" t="s">
        <v>215</v>
      </c>
      <c r="B1021" s="2" t="s">
        <v>17</v>
      </c>
      <c r="C1021" s="2" t="s">
        <v>23</v>
      </c>
      <c r="D1021" s="2" t="s">
        <v>28</v>
      </c>
      <c r="E1021" s="2" t="s">
        <v>10</v>
      </c>
      <c r="F1021" s="4">
        <v>3912.43</v>
      </c>
    </row>
    <row r="1022" spans="1:6" ht="15" thickBot="1" x14ac:dyDescent="0.35">
      <c r="A1022" s="3" t="s">
        <v>50</v>
      </c>
      <c r="B1022" s="2" t="s">
        <v>19</v>
      </c>
      <c r="C1022" s="2" t="s">
        <v>23</v>
      </c>
      <c r="D1022" s="2" t="s">
        <v>14</v>
      </c>
      <c r="E1022" s="2" t="s">
        <v>15</v>
      </c>
      <c r="F1022" s="4">
        <v>349.13</v>
      </c>
    </row>
    <row r="1023" spans="1:6" ht="15" thickBot="1" x14ac:dyDescent="0.35">
      <c r="A1023" s="3" t="s">
        <v>35</v>
      </c>
      <c r="B1023" s="2" t="s">
        <v>19</v>
      </c>
      <c r="C1023" s="2" t="s">
        <v>13</v>
      </c>
      <c r="D1023" s="2" t="s">
        <v>28</v>
      </c>
      <c r="E1023" s="2" t="s">
        <v>24</v>
      </c>
      <c r="F1023" s="4">
        <v>3133.74</v>
      </c>
    </row>
    <row r="1024" spans="1:6" ht="15" thickBot="1" x14ac:dyDescent="0.35">
      <c r="A1024" s="3" t="s">
        <v>50</v>
      </c>
      <c r="B1024" s="2" t="s">
        <v>19</v>
      </c>
      <c r="C1024" s="2" t="s">
        <v>34</v>
      </c>
      <c r="D1024" s="2" t="s">
        <v>28</v>
      </c>
      <c r="E1024" s="2" t="s">
        <v>10</v>
      </c>
      <c r="F1024" s="4">
        <v>228.22</v>
      </c>
    </row>
    <row r="1025" spans="1:6" ht="15" thickBot="1" x14ac:dyDescent="0.35">
      <c r="A1025" s="3" t="s">
        <v>123</v>
      </c>
      <c r="B1025" s="2" t="s">
        <v>30</v>
      </c>
      <c r="C1025" s="2" t="s">
        <v>8</v>
      </c>
      <c r="D1025" s="2" t="s">
        <v>28</v>
      </c>
      <c r="E1025" s="2" t="s">
        <v>15</v>
      </c>
      <c r="F1025" s="4">
        <v>1437.79</v>
      </c>
    </row>
    <row r="1026" spans="1:6" ht="15" thickBot="1" x14ac:dyDescent="0.35">
      <c r="A1026" s="3" t="s">
        <v>83</v>
      </c>
      <c r="B1026" s="2" t="s">
        <v>17</v>
      </c>
      <c r="C1026" s="2" t="s">
        <v>34</v>
      </c>
      <c r="D1026" s="2" t="s">
        <v>28</v>
      </c>
      <c r="E1026" s="2" t="s">
        <v>24</v>
      </c>
      <c r="F1026" s="4">
        <v>3734.66</v>
      </c>
    </row>
    <row r="1027" spans="1:6" ht="15" thickBot="1" x14ac:dyDescent="0.35">
      <c r="A1027" s="3" t="s">
        <v>40</v>
      </c>
      <c r="B1027" s="2" t="s">
        <v>19</v>
      </c>
      <c r="C1027" s="2" t="s">
        <v>13</v>
      </c>
      <c r="D1027" s="2" t="s">
        <v>28</v>
      </c>
      <c r="E1027" s="2" t="s">
        <v>15</v>
      </c>
      <c r="F1027" s="4">
        <v>923.68</v>
      </c>
    </row>
    <row r="1028" spans="1:6" ht="15" thickBot="1" x14ac:dyDescent="0.35">
      <c r="A1028" s="3" t="s">
        <v>163</v>
      </c>
      <c r="B1028" s="2" t="s">
        <v>19</v>
      </c>
      <c r="C1028" s="2" t="s">
        <v>34</v>
      </c>
      <c r="D1028" s="2" t="s">
        <v>28</v>
      </c>
      <c r="E1028" s="2" t="s">
        <v>24</v>
      </c>
      <c r="F1028" s="4">
        <v>1962.58</v>
      </c>
    </row>
    <row r="1029" spans="1:6" ht="15" thickBot="1" x14ac:dyDescent="0.35">
      <c r="A1029" s="3" t="s">
        <v>180</v>
      </c>
      <c r="B1029" s="2" t="s">
        <v>30</v>
      </c>
      <c r="C1029" s="2" t="s">
        <v>8</v>
      </c>
      <c r="D1029" s="2" t="s">
        <v>14</v>
      </c>
      <c r="E1029" s="2" t="s">
        <v>15</v>
      </c>
      <c r="F1029" s="4">
        <v>690.6</v>
      </c>
    </row>
    <row r="1030" spans="1:6" ht="15" thickBot="1" x14ac:dyDescent="0.35">
      <c r="A1030" s="3" t="s">
        <v>175</v>
      </c>
      <c r="B1030" s="2" t="s">
        <v>7</v>
      </c>
      <c r="C1030" s="2" t="s">
        <v>34</v>
      </c>
      <c r="D1030" s="2" t="s">
        <v>9</v>
      </c>
      <c r="E1030" s="2" t="s">
        <v>10</v>
      </c>
      <c r="F1030" s="4">
        <v>1785.8245850000001</v>
      </c>
    </row>
    <row r="1031" spans="1:6" ht="15" thickBot="1" x14ac:dyDescent="0.35">
      <c r="A1031" s="3" t="s">
        <v>38</v>
      </c>
      <c r="B1031" s="2" t="s">
        <v>30</v>
      </c>
      <c r="C1031" s="2" t="s">
        <v>23</v>
      </c>
      <c r="D1031" s="2" t="s">
        <v>28</v>
      </c>
      <c r="E1031" s="2" t="s">
        <v>24</v>
      </c>
      <c r="F1031" s="4">
        <v>4949.3</v>
      </c>
    </row>
    <row r="1032" spans="1:6" ht="15" thickBot="1" x14ac:dyDescent="0.35">
      <c r="A1032" s="3" t="s">
        <v>92</v>
      </c>
      <c r="B1032" s="2" t="s">
        <v>30</v>
      </c>
      <c r="C1032" s="2" t="s">
        <v>23</v>
      </c>
      <c r="D1032" s="2" t="s">
        <v>9</v>
      </c>
      <c r="E1032" s="2" t="s">
        <v>10</v>
      </c>
      <c r="F1032" s="4">
        <v>3153.3403969999999</v>
      </c>
    </row>
    <row r="1033" spans="1:6" ht="15" thickBot="1" x14ac:dyDescent="0.35">
      <c r="A1033" s="3" t="s">
        <v>129</v>
      </c>
      <c r="B1033" s="2" t="s">
        <v>17</v>
      </c>
      <c r="C1033" s="2" t="s">
        <v>34</v>
      </c>
      <c r="D1033" s="2" t="s">
        <v>14</v>
      </c>
      <c r="E1033" s="2" t="s">
        <v>15</v>
      </c>
      <c r="F1033" s="4">
        <v>919.35</v>
      </c>
    </row>
    <row r="1034" spans="1:6" ht="15" thickBot="1" x14ac:dyDescent="0.35">
      <c r="A1034" s="3" t="s">
        <v>123</v>
      </c>
      <c r="B1034" s="2" t="s">
        <v>30</v>
      </c>
      <c r="C1034" s="2" t="s">
        <v>34</v>
      </c>
      <c r="D1034" s="2" t="s">
        <v>14</v>
      </c>
      <c r="E1034" s="2" t="s">
        <v>15</v>
      </c>
      <c r="F1034" s="4">
        <v>2465.21</v>
      </c>
    </row>
    <row r="1035" spans="1:6" ht="15" thickBot="1" x14ac:dyDescent="0.35">
      <c r="A1035" s="3" t="s">
        <v>147</v>
      </c>
      <c r="B1035" s="2" t="s">
        <v>17</v>
      </c>
      <c r="C1035" s="2" t="s">
        <v>23</v>
      </c>
      <c r="D1035" s="2" t="s">
        <v>14</v>
      </c>
      <c r="E1035" s="2" t="s">
        <v>10</v>
      </c>
      <c r="F1035" s="4">
        <v>2956.74</v>
      </c>
    </row>
    <row r="1036" spans="1:6" ht="15" thickBot="1" x14ac:dyDescent="0.35">
      <c r="A1036" s="3" t="s">
        <v>125</v>
      </c>
      <c r="B1036" s="2" t="s">
        <v>7</v>
      </c>
      <c r="C1036" s="2" t="s">
        <v>34</v>
      </c>
      <c r="D1036" s="2" t="s">
        <v>9</v>
      </c>
      <c r="E1036" s="2" t="s">
        <v>10</v>
      </c>
      <c r="F1036" s="4">
        <v>1174.629844</v>
      </c>
    </row>
    <row r="1037" spans="1:6" ht="15" thickBot="1" x14ac:dyDescent="0.35">
      <c r="A1037" s="3" t="s">
        <v>130</v>
      </c>
      <c r="B1037" s="2" t="s">
        <v>12</v>
      </c>
      <c r="C1037" s="2" t="s">
        <v>34</v>
      </c>
      <c r="D1037" s="2" t="s">
        <v>14</v>
      </c>
      <c r="E1037" s="2" t="s">
        <v>24</v>
      </c>
      <c r="F1037" s="4">
        <v>1574.82</v>
      </c>
    </row>
    <row r="1038" spans="1:6" ht="15" thickBot="1" x14ac:dyDescent="0.35">
      <c r="A1038" s="3" t="s">
        <v>102</v>
      </c>
      <c r="B1038" s="2" t="s">
        <v>19</v>
      </c>
      <c r="C1038" s="2" t="s">
        <v>8</v>
      </c>
      <c r="D1038" s="2" t="s">
        <v>9</v>
      </c>
      <c r="E1038" s="2" t="s">
        <v>10</v>
      </c>
      <c r="F1038" s="4">
        <v>922.32219610000004</v>
      </c>
    </row>
    <row r="1039" spans="1:6" ht="15" thickBot="1" x14ac:dyDescent="0.35">
      <c r="A1039" s="3" t="s">
        <v>73</v>
      </c>
      <c r="B1039" s="2" t="s">
        <v>30</v>
      </c>
      <c r="C1039" s="2" t="s">
        <v>23</v>
      </c>
      <c r="D1039" s="2" t="s">
        <v>9</v>
      </c>
      <c r="E1039" s="2" t="s">
        <v>10</v>
      </c>
      <c r="F1039" s="4">
        <v>842.92266970000003</v>
      </c>
    </row>
    <row r="1040" spans="1:6" ht="15" thickBot="1" x14ac:dyDescent="0.35">
      <c r="A1040" s="3" t="s">
        <v>110</v>
      </c>
      <c r="B1040" s="2" t="s">
        <v>12</v>
      </c>
      <c r="C1040" s="2" t="s">
        <v>8</v>
      </c>
      <c r="D1040" s="2" t="s">
        <v>14</v>
      </c>
      <c r="E1040" s="2" t="s">
        <v>10</v>
      </c>
      <c r="F1040" s="4">
        <v>3132.1</v>
      </c>
    </row>
    <row r="1041" spans="1:6" ht="15" thickBot="1" x14ac:dyDescent="0.35">
      <c r="A1041" s="3" t="s">
        <v>109</v>
      </c>
      <c r="B1041" s="2" t="s">
        <v>12</v>
      </c>
      <c r="C1041" s="2" t="s">
        <v>13</v>
      </c>
      <c r="D1041" s="2" t="s">
        <v>9</v>
      </c>
      <c r="E1041" s="2" t="s">
        <v>10</v>
      </c>
      <c r="F1041" s="4">
        <v>3613.5009599999998</v>
      </c>
    </row>
    <row r="1042" spans="1:6" ht="15" thickBot="1" x14ac:dyDescent="0.35">
      <c r="A1042" s="3" t="s">
        <v>45</v>
      </c>
      <c r="B1042" s="2" t="s">
        <v>7</v>
      </c>
      <c r="C1042" s="2" t="s">
        <v>34</v>
      </c>
      <c r="D1042" s="2" t="s">
        <v>9</v>
      </c>
      <c r="E1042" s="2" t="s">
        <v>24</v>
      </c>
      <c r="F1042" s="4">
        <v>1968.5236090000001</v>
      </c>
    </row>
    <row r="1043" spans="1:6" ht="15" thickBot="1" x14ac:dyDescent="0.35">
      <c r="A1043" s="3" t="s">
        <v>179</v>
      </c>
      <c r="B1043" s="2" t="s">
        <v>7</v>
      </c>
      <c r="C1043" s="2" t="s">
        <v>23</v>
      </c>
      <c r="D1043" s="2" t="s">
        <v>14</v>
      </c>
      <c r="E1043" s="2" t="s">
        <v>10</v>
      </c>
      <c r="F1043" s="4">
        <v>70.83</v>
      </c>
    </row>
    <row r="1044" spans="1:6" ht="15" thickBot="1" x14ac:dyDescent="0.35">
      <c r="A1044" s="3" t="s">
        <v>179</v>
      </c>
      <c r="B1044" s="2" t="s">
        <v>7</v>
      </c>
      <c r="C1044" s="2" t="s">
        <v>13</v>
      </c>
      <c r="D1044" s="2" t="s">
        <v>14</v>
      </c>
      <c r="E1044" s="2" t="s">
        <v>15</v>
      </c>
      <c r="F1044" s="4">
        <v>1698.04</v>
      </c>
    </row>
    <row r="1045" spans="1:6" ht="15" thickBot="1" x14ac:dyDescent="0.35">
      <c r="A1045" s="3" t="s">
        <v>173</v>
      </c>
      <c r="B1045" s="2" t="s">
        <v>30</v>
      </c>
      <c r="C1045" s="2" t="s">
        <v>23</v>
      </c>
      <c r="D1045" s="2" t="s">
        <v>28</v>
      </c>
      <c r="E1045" s="2" t="s">
        <v>10</v>
      </c>
      <c r="F1045" s="4">
        <v>4151.2</v>
      </c>
    </row>
    <row r="1046" spans="1:6" ht="15" thickBot="1" x14ac:dyDescent="0.35">
      <c r="A1046" s="3" t="s">
        <v>122</v>
      </c>
      <c r="B1046" s="2" t="s">
        <v>19</v>
      </c>
      <c r="C1046" s="2" t="s">
        <v>34</v>
      </c>
      <c r="D1046" s="2" t="s">
        <v>28</v>
      </c>
      <c r="E1046" s="2" t="s">
        <v>15</v>
      </c>
      <c r="F1046" s="4">
        <v>4411.01</v>
      </c>
    </row>
    <row r="1047" spans="1:6" ht="15" thickBot="1" x14ac:dyDescent="0.35">
      <c r="A1047" s="3" t="s">
        <v>155</v>
      </c>
      <c r="B1047" s="2" t="s">
        <v>7</v>
      </c>
      <c r="C1047" s="2" t="s">
        <v>13</v>
      </c>
      <c r="D1047" s="2" t="s">
        <v>28</v>
      </c>
      <c r="E1047" s="2" t="s">
        <v>15</v>
      </c>
      <c r="F1047" s="4">
        <v>284.04000000000002</v>
      </c>
    </row>
    <row r="1048" spans="1:6" ht="15" thickBot="1" x14ac:dyDescent="0.35">
      <c r="A1048" s="3" t="s">
        <v>200</v>
      </c>
      <c r="B1048" s="2" t="s">
        <v>30</v>
      </c>
      <c r="C1048" s="2" t="s">
        <v>8</v>
      </c>
      <c r="D1048" s="2" t="s">
        <v>9</v>
      </c>
      <c r="E1048" s="2" t="s">
        <v>24</v>
      </c>
      <c r="F1048" s="4">
        <v>3725.8493830000002</v>
      </c>
    </row>
    <row r="1049" spans="1:6" ht="15" thickBot="1" x14ac:dyDescent="0.35">
      <c r="A1049" s="3" t="s">
        <v>191</v>
      </c>
      <c r="B1049" s="2" t="s">
        <v>12</v>
      </c>
      <c r="C1049" s="2" t="s">
        <v>13</v>
      </c>
      <c r="D1049" s="2" t="s">
        <v>28</v>
      </c>
      <c r="E1049" s="2" t="s">
        <v>24</v>
      </c>
      <c r="F1049" s="4">
        <v>324.83999999999997</v>
      </c>
    </row>
    <row r="1050" spans="1:6" ht="15" thickBot="1" x14ac:dyDescent="0.35">
      <c r="A1050" s="3" t="s">
        <v>51</v>
      </c>
      <c r="B1050" s="2" t="s">
        <v>30</v>
      </c>
      <c r="C1050" s="2" t="s">
        <v>13</v>
      </c>
      <c r="D1050" s="2" t="s">
        <v>28</v>
      </c>
      <c r="E1050" s="2" t="s">
        <v>24</v>
      </c>
      <c r="F1050" s="4">
        <v>574.69000000000005</v>
      </c>
    </row>
    <row r="1051" spans="1:6" ht="15" thickBot="1" x14ac:dyDescent="0.35">
      <c r="A1051" s="3" t="s">
        <v>198</v>
      </c>
      <c r="B1051" s="2" t="s">
        <v>12</v>
      </c>
      <c r="C1051" s="2" t="s">
        <v>34</v>
      </c>
      <c r="D1051" s="2" t="s">
        <v>9</v>
      </c>
      <c r="E1051" s="2" t="s">
        <v>24</v>
      </c>
      <c r="F1051" s="4">
        <v>3034.3254080000002</v>
      </c>
    </row>
    <row r="1052" spans="1:6" ht="15" thickBot="1" x14ac:dyDescent="0.35">
      <c r="A1052" s="3" t="s">
        <v>116</v>
      </c>
      <c r="B1052" s="2" t="s">
        <v>17</v>
      </c>
      <c r="C1052" s="2" t="s">
        <v>34</v>
      </c>
      <c r="D1052" s="2" t="s">
        <v>28</v>
      </c>
      <c r="E1052" s="2" t="s">
        <v>24</v>
      </c>
      <c r="F1052" s="4">
        <v>169.73</v>
      </c>
    </row>
    <row r="1053" spans="1:6" ht="15" thickBot="1" x14ac:dyDescent="0.35">
      <c r="A1053" s="3" t="s">
        <v>142</v>
      </c>
      <c r="B1053" s="2" t="s">
        <v>17</v>
      </c>
      <c r="C1053" s="2" t="s">
        <v>13</v>
      </c>
      <c r="D1053" s="2" t="s">
        <v>14</v>
      </c>
      <c r="E1053" s="2" t="s">
        <v>24</v>
      </c>
      <c r="F1053" s="4">
        <v>1309.6199999999999</v>
      </c>
    </row>
    <row r="1054" spans="1:6" ht="15" thickBot="1" x14ac:dyDescent="0.35">
      <c r="A1054" s="3" t="s">
        <v>149</v>
      </c>
      <c r="B1054" s="2" t="s">
        <v>17</v>
      </c>
      <c r="C1054" s="2" t="s">
        <v>8</v>
      </c>
      <c r="D1054" s="2" t="s">
        <v>28</v>
      </c>
      <c r="E1054" s="2" t="s">
        <v>24</v>
      </c>
      <c r="F1054" s="4">
        <v>2624.96</v>
      </c>
    </row>
    <row r="1055" spans="1:6" ht="15" thickBot="1" x14ac:dyDescent="0.35">
      <c r="A1055" s="3" t="s">
        <v>113</v>
      </c>
      <c r="B1055" s="2" t="s">
        <v>30</v>
      </c>
      <c r="C1055" s="2" t="s">
        <v>8</v>
      </c>
      <c r="D1055" s="2" t="s">
        <v>14</v>
      </c>
      <c r="E1055" s="2" t="s">
        <v>15</v>
      </c>
      <c r="F1055" s="4">
        <v>1753.99</v>
      </c>
    </row>
    <row r="1056" spans="1:6" ht="15" thickBot="1" x14ac:dyDescent="0.35">
      <c r="A1056" s="3" t="s">
        <v>94</v>
      </c>
      <c r="B1056" s="2" t="s">
        <v>7</v>
      </c>
      <c r="C1056" s="2" t="s">
        <v>13</v>
      </c>
      <c r="D1056" s="2" t="s">
        <v>9</v>
      </c>
      <c r="E1056" s="2" t="s">
        <v>10</v>
      </c>
      <c r="F1056" s="4">
        <v>4506.350676</v>
      </c>
    </row>
    <row r="1057" spans="1:6" ht="15" thickBot="1" x14ac:dyDescent="0.35">
      <c r="A1057" s="3" t="s">
        <v>154</v>
      </c>
      <c r="B1057" s="2" t="s">
        <v>12</v>
      </c>
      <c r="C1057" s="2" t="s">
        <v>13</v>
      </c>
      <c r="D1057" s="2" t="s">
        <v>9</v>
      </c>
      <c r="E1057" s="2" t="s">
        <v>24</v>
      </c>
      <c r="F1057" s="4">
        <v>1399.9373109999999</v>
      </c>
    </row>
    <row r="1058" spans="1:6" ht="15" thickBot="1" x14ac:dyDescent="0.35">
      <c r="A1058" s="3" t="s">
        <v>103</v>
      </c>
      <c r="B1058" s="2" t="s">
        <v>19</v>
      </c>
      <c r="C1058" s="2" t="s">
        <v>23</v>
      </c>
      <c r="D1058" s="2" t="s">
        <v>9</v>
      </c>
      <c r="E1058" s="2" t="s">
        <v>15</v>
      </c>
      <c r="F1058" s="4">
        <v>3722.0575220000001</v>
      </c>
    </row>
    <row r="1059" spans="1:6" ht="15" thickBot="1" x14ac:dyDescent="0.35">
      <c r="A1059" s="3" t="s">
        <v>66</v>
      </c>
      <c r="B1059" s="2" t="s">
        <v>30</v>
      </c>
      <c r="C1059" s="2" t="s">
        <v>23</v>
      </c>
      <c r="D1059" s="2" t="s">
        <v>9</v>
      </c>
      <c r="E1059" s="2" t="s">
        <v>24</v>
      </c>
      <c r="F1059" s="4">
        <v>4854.660578</v>
      </c>
    </row>
    <row r="1060" spans="1:6" ht="15" thickBot="1" x14ac:dyDescent="0.35">
      <c r="A1060" s="3" t="s">
        <v>168</v>
      </c>
      <c r="B1060" s="2" t="s">
        <v>17</v>
      </c>
      <c r="C1060" s="2" t="s">
        <v>13</v>
      </c>
      <c r="D1060" s="2" t="s">
        <v>9</v>
      </c>
      <c r="E1060" s="2" t="s">
        <v>24</v>
      </c>
      <c r="F1060" s="4">
        <v>3995.7127209999999</v>
      </c>
    </row>
    <row r="1061" spans="1:6" ht="15" thickBot="1" x14ac:dyDescent="0.35">
      <c r="A1061" s="3" t="s">
        <v>183</v>
      </c>
      <c r="B1061" s="2" t="s">
        <v>7</v>
      </c>
      <c r="C1061" s="2" t="s">
        <v>23</v>
      </c>
      <c r="D1061" s="2" t="s">
        <v>9</v>
      </c>
      <c r="E1061" s="2" t="s">
        <v>10</v>
      </c>
      <c r="F1061" s="4">
        <v>1233.9262349999999</v>
      </c>
    </row>
    <row r="1062" spans="1:6" ht="15" thickBot="1" x14ac:dyDescent="0.35">
      <c r="A1062" s="3" t="s">
        <v>159</v>
      </c>
      <c r="B1062" s="2" t="s">
        <v>7</v>
      </c>
      <c r="C1062" s="2" t="s">
        <v>23</v>
      </c>
      <c r="D1062" s="2" t="s">
        <v>14</v>
      </c>
      <c r="E1062" s="2" t="s">
        <v>15</v>
      </c>
      <c r="F1062" s="4">
        <v>2802.78</v>
      </c>
    </row>
    <row r="1063" spans="1:6" ht="15" thickBot="1" x14ac:dyDescent="0.35">
      <c r="A1063" s="3" t="s">
        <v>211</v>
      </c>
      <c r="B1063" s="2" t="s">
        <v>7</v>
      </c>
      <c r="C1063" s="2" t="s">
        <v>8</v>
      </c>
      <c r="D1063" s="2" t="s">
        <v>14</v>
      </c>
      <c r="E1063" s="2" t="s">
        <v>15</v>
      </c>
      <c r="F1063" s="4">
        <v>2330.0300000000002</v>
      </c>
    </row>
    <row r="1064" spans="1:6" ht="15" thickBot="1" x14ac:dyDescent="0.35">
      <c r="A1064" s="3" t="s">
        <v>214</v>
      </c>
      <c r="B1064" s="2" t="s">
        <v>30</v>
      </c>
      <c r="C1064" s="2" t="s">
        <v>8</v>
      </c>
      <c r="D1064" s="2" t="s">
        <v>28</v>
      </c>
      <c r="E1064" s="2" t="s">
        <v>24</v>
      </c>
      <c r="F1064" s="4">
        <v>4895.2700000000004</v>
      </c>
    </row>
    <row r="1065" spans="1:6" ht="15" thickBot="1" x14ac:dyDescent="0.35">
      <c r="A1065" s="3" t="s">
        <v>52</v>
      </c>
      <c r="B1065" s="2" t="s">
        <v>19</v>
      </c>
      <c r="C1065" s="2" t="s">
        <v>13</v>
      </c>
      <c r="D1065" s="2" t="s">
        <v>14</v>
      </c>
      <c r="E1065" s="2" t="s">
        <v>24</v>
      </c>
      <c r="F1065" s="4">
        <v>804.58</v>
      </c>
    </row>
    <row r="1066" spans="1:6" ht="15" thickBot="1" x14ac:dyDescent="0.35">
      <c r="A1066" s="3" t="s">
        <v>61</v>
      </c>
      <c r="B1066" s="2" t="s">
        <v>30</v>
      </c>
      <c r="C1066" s="2" t="s">
        <v>13</v>
      </c>
      <c r="D1066" s="2" t="s">
        <v>9</v>
      </c>
      <c r="E1066" s="2" t="s">
        <v>10</v>
      </c>
      <c r="F1066" s="4">
        <v>5233.9546099999998</v>
      </c>
    </row>
    <row r="1067" spans="1:6" ht="15" thickBot="1" x14ac:dyDescent="0.35">
      <c r="A1067" s="3" t="s">
        <v>182</v>
      </c>
      <c r="B1067" s="2" t="s">
        <v>12</v>
      </c>
      <c r="C1067" s="2" t="s">
        <v>23</v>
      </c>
      <c r="D1067" s="2" t="s">
        <v>14</v>
      </c>
      <c r="E1067" s="2" t="s">
        <v>10</v>
      </c>
      <c r="F1067" s="4">
        <v>2997.09</v>
      </c>
    </row>
    <row r="1068" spans="1:6" ht="15" thickBot="1" x14ac:dyDescent="0.35">
      <c r="A1068" s="3" t="s">
        <v>161</v>
      </c>
      <c r="B1068" s="2" t="s">
        <v>7</v>
      </c>
      <c r="C1068" s="2" t="s">
        <v>8</v>
      </c>
      <c r="D1068" s="2" t="s">
        <v>9</v>
      </c>
      <c r="E1068" s="2" t="s">
        <v>10</v>
      </c>
      <c r="F1068" s="4">
        <v>964.92144989999997</v>
      </c>
    </row>
    <row r="1069" spans="1:6" ht="15" thickBot="1" x14ac:dyDescent="0.35">
      <c r="A1069" s="3" t="s">
        <v>180</v>
      </c>
      <c r="B1069" s="2" t="s">
        <v>30</v>
      </c>
      <c r="C1069" s="2" t="s">
        <v>8</v>
      </c>
      <c r="D1069" s="2" t="s">
        <v>9</v>
      </c>
      <c r="E1069" s="2" t="s">
        <v>24</v>
      </c>
      <c r="F1069" s="4">
        <v>3145.31</v>
      </c>
    </row>
    <row r="1070" spans="1:6" ht="15" thickBot="1" x14ac:dyDescent="0.35">
      <c r="A1070" s="3" t="s">
        <v>38</v>
      </c>
      <c r="B1070" s="2" t="s">
        <v>30</v>
      </c>
      <c r="C1070" s="2" t="s">
        <v>13</v>
      </c>
      <c r="D1070" s="2" t="s">
        <v>28</v>
      </c>
      <c r="E1070" s="2" t="s">
        <v>15</v>
      </c>
      <c r="F1070" s="4">
        <v>2135.2800000000002</v>
      </c>
    </row>
    <row r="1071" spans="1:6" ht="15" thickBot="1" x14ac:dyDescent="0.35">
      <c r="A1071" s="3" t="s">
        <v>128</v>
      </c>
      <c r="B1071" s="2" t="s">
        <v>12</v>
      </c>
      <c r="C1071" s="2" t="s">
        <v>34</v>
      </c>
      <c r="D1071" s="2" t="s">
        <v>9</v>
      </c>
      <c r="E1071" s="2" t="s">
        <v>24</v>
      </c>
      <c r="F1071" s="4">
        <v>4359.5105709999998</v>
      </c>
    </row>
    <row r="1072" spans="1:6" ht="15" thickBot="1" x14ac:dyDescent="0.35">
      <c r="A1072" s="3" t="s">
        <v>99</v>
      </c>
      <c r="B1072" s="2" t="s">
        <v>19</v>
      </c>
      <c r="C1072" s="2" t="s">
        <v>23</v>
      </c>
      <c r="D1072" s="2" t="s">
        <v>14</v>
      </c>
      <c r="E1072" s="2" t="s">
        <v>15</v>
      </c>
      <c r="F1072" s="4">
        <v>4094.25</v>
      </c>
    </row>
    <row r="1073" spans="1:6" ht="15" thickBot="1" x14ac:dyDescent="0.35">
      <c r="A1073" s="3" t="s">
        <v>183</v>
      </c>
      <c r="B1073" s="2" t="s">
        <v>7</v>
      </c>
      <c r="C1073" s="2" t="s">
        <v>34</v>
      </c>
      <c r="D1073" s="2" t="s">
        <v>9</v>
      </c>
      <c r="E1073" s="2" t="s">
        <v>15</v>
      </c>
      <c r="F1073" s="4">
        <v>1200.6229960000001</v>
      </c>
    </row>
    <row r="1074" spans="1:6" ht="15" thickBot="1" x14ac:dyDescent="0.35">
      <c r="A1074" s="3" t="s">
        <v>205</v>
      </c>
      <c r="B1074" s="2" t="s">
        <v>17</v>
      </c>
      <c r="C1074" s="2" t="s">
        <v>23</v>
      </c>
      <c r="D1074" s="2" t="s">
        <v>9</v>
      </c>
      <c r="E1074" s="2" t="s">
        <v>24</v>
      </c>
      <c r="F1074" s="4">
        <v>2599.9448320000001</v>
      </c>
    </row>
    <row r="1075" spans="1:6" ht="15" thickBot="1" x14ac:dyDescent="0.35">
      <c r="A1075" s="3" t="s">
        <v>199</v>
      </c>
      <c r="B1075" s="2" t="s">
        <v>17</v>
      </c>
      <c r="C1075" s="2" t="s">
        <v>34</v>
      </c>
      <c r="D1075" s="2" t="s">
        <v>14</v>
      </c>
      <c r="E1075" s="2" t="s">
        <v>10</v>
      </c>
      <c r="F1075" s="4">
        <v>3672.52</v>
      </c>
    </row>
    <row r="1076" spans="1:6" ht="15" thickBot="1" x14ac:dyDescent="0.35">
      <c r="A1076" s="3" t="s">
        <v>196</v>
      </c>
      <c r="B1076" s="2" t="s">
        <v>30</v>
      </c>
      <c r="C1076" s="2" t="s">
        <v>23</v>
      </c>
      <c r="D1076" s="2" t="s">
        <v>28</v>
      </c>
      <c r="E1076" s="2" t="s">
        <v>24</v>
      </c>
      <c r="F1076" s="4">
        <v>787.76</v>
      </c>
    </row>
    <row r="1077" spans="1:6" ht="15" thickBot="1" x14ac:dyDescent="0.35">
      <c r="A1077" s="3" t="s">
        <v>154</v>
      </c>
      <c r="B1077" s="2" t="s">
        <v>12</v>
      </c>
      <c r="C1077" s="2" t="s">
        <v>8</v>
      </c>
      <c r="D1077" s="2" t="s">
        <v>14</v>
      </c>
      <c r="E1077" s="2" t="s">
        <v>10</v>
      </c>
      <c r="F1077" s="4">
        <v>4418.3</v>
      </c>
    </row>
    <row r="1078" spans="1:6" ht="15" thickBot="1" x14ac:dyDescent="0.35">
      <c r="A1078" s="3" t="s">
        <v>145</v>
      </c>
      <c r="B1078" s="2" t="s">
        <v>7</v>
      </c>
      <c r="C1078" s="2" t="s">
        <v>23</v>
      </c>
      <c r="D1078" s="2" t="s">
        <v>28</v>
      </c>
      <c r="E1078" s="2" t="s">
        <v>24</v>
      </c>
      <c r="F1078" s="4">
        <v>1918.45</v>
      </c>
    </row>
    <row r="1079" spans="1:6" ht="15" thickBot="1" x14ac:dyDescent="0.35">
      <c r="A1079" s="3" t="s">
        <v>208</v>
      </c>
      <c r="B1079" s="2" t="s">
        <v>19</v>
      </c>
      <c r="C1079" s="2" t="s">
        <v>23</v>
      </c>
      <c r="D1079" s="2" t="s">
        <v>28</v>
      </c>
      <c r="E1079" s="2" t="s">
        <v>10</v>
      </c>
      <c r="F1079" s="4">
        <v>4411.78</v>
      </c>
    </row>
    <row r="1080" spans="1:6" ht="15" thickBot="1" x14ac:dyDescent="0.35">
      <c r="A1080" s="3" t="s">
        <v>177</v>
      </c>
      <c r="B1080" s="2" t="s">
        <v>7</v>
      </c>
      <c r="C1080" s="2" t="s">
        <v>23</v>
      </c>
      <c r="D1080" s="2" t="s">
        <v>9</v>
      </c>
      <c r="E1080" s="2" t="s">
        <v>10</v>
      </c>
      <c r="F1080" s="4">
        <v>755.83986930000003</v>
      </c>
    </row>
    <row r="1081" spans="1:6" ht="15" thickBot="1" x14ac:dyDescent="0.35">
      <c r="A1081" s="3" t="s">
        <v>166</v>
      </c>
      <c r="B1081" s="2" t="s">
        <v>7</v>
      </c>
      <c r="C1081" s="2" t="s">
        <v>13</v>
      </c>
      <c r="D1081" s="2" t="s">
        <v>9</v>
      </c>
      <c r="E1081" s="2" t="s">
        <v>10</v>
      </c>
      <c r="F1081" s="4">
        <v>868.5117434</v>
      </c>
    </row>
    <row r="1082" spans="1:6" ht="15" thickBot="1" x14ac:dyDescent="0.35">
      <c r="A1082" s="3" t="s">
        <v>26</v>
      </c>
      <c r="B1082" s="2" t="s">
        <v>17</v>
      </c>
      <c r="C1082" s="2" t="s">
        <v>34</v>
      </c>
      <c r="D1082" s="2" t="s">
        <v>14</v>
      </c>
      <c r="E1082" s="2" t="s">
        <v>10</v>
      </c>
      <c r="F1082" s="4">
        <v>3296.99</v>
      </c>
    </row>
    <row r="1083" spans="1:6" ht="15" thickBot="1" x14ac:dyDescent="0.35">
      <c r="A1083" s="3" t="s">
        <v>101</v>
      </c>
      <c r="B1083" s="2" t="s">
        <v>19</v>
      </c>
      <c r="C1083" s="2" t="s">
        <v>34</v>
      </c>
      <c r="D1083" s="2" t="s">
        <v>28</v>
      </c>
      <c r="E1083" s="2" t="s">
        <v>24</v>
      </c>
      <c r="F1083" s="4">
        <v>4240.42</v>
      </c>
    </row>
    <row r="1084" spans="1:6" ht="15" thickBot="1" x14ac:dyDescent="0.35">
      <c r="A1084" s="3" t="s">
        <v>194</v>
      </c>
      <c r="B1084" s="2" t="s">
        <v>17</v>
      </c>
      <c r="C1084" s="2" t="s">
        <v>13</v>
      </c>
      <c r="D1084" s="2" t="s">
        <v>9</v>
      </c>
      <c r="E1084" s="2" t="s">
        <v>10</v>
      </c>
      <c r="F1084" s="4">
        <v>1409.821359</v>
      </c>
    </row>
    <row r="1085" spans="1:6" ht="15" thickBot="1" x14ac:dyDescent="0.35">
      <c r="A1085" s="3" t="s">
        <v>122</v>
      </c>
      <c r="B1085" s="2" t="s">
        <v>19</v>
      </c>
      <c r="C1085" s="2" t="s">
        <v>34</v>
      </c>
      <c r="D1085" s="2" t="s">
        <v>14</v>
      </c>
      <c r="E1085" s="2" t="s">
        <v>10</v>
      </c>
      <c r="F1085" s="4">
        <v>3970.76</v>
      </c>
    </row>
    <row r="1086" spans="1:6" ht="15" thickBot="1" x14ac:dyDescent="0.35">
      <c r="A1086" s="3" t="s">
        <v>102</v>
      </c>
      <c r="B1086" s="2" t="s">
        <v>19</v>
      </c>
      <c r="C1086" s="2" t="s">
        <v>8</v>
      </c>
      <c r="D1086" s="2" t="s">
        <v>28</v>
      </c>
      <c r="E1086" s="2" t="s">
        <v>15</v>
      </c>
      <c r="F1086" s="4">
        <v>549.77</v>
      </c>
    </row>
    <row r="1087" spans="1:6" ht="15" thickBot="1" x14ac:dyDescent="0.35">
      <c r="A1087" s="3" t="s">
        <v>69</v>
      </c>
      <c r="B1087" s="2" t="s">
        <v>7</v>
      </c>
      <c r="C1087" s="2" t="s">
        <v>13</v>
      </c>
      <c r="D1087" s="2" t="s">
        <v>14</v>
      </c>
      <c r="E1087" s="2" t="s">
        <v>10</v>
      </c>
      <c r="F1087" s="4">
        <v>104.29</v>
      </c>
    </row>
    <row r="1088" spans="1:6" ht="15" thickBot="1" x14ac:dyDescent="0.35">
      <c r="A1088" s="3" t="s">
        <v>212</v>
      </c>
      <c r="B1088" s="2" t="s">
        <v>7</v>
      </c>
      <c r="C1088" s="2" t="s">
        <v>13</v>
      </c>
      <c r="D1088" s="2" t="s">
        <v>14</v>
      </c>
      <c r="E1088" s="2" t="s">
        <v>10</v>
      </c>
      <c r="F1088" s="4">
        <v>1468.86</v>
      </c>
    </row>
    <row r="1089" spans="1:6" ht="15" thickBot="1" x14ac:dyDescent="0.35">
      <c r="A1089" s="3" t="s">
        <v>163</v>
      </c>
      <c r="B1089" s="2" t="s">
        <v>19</v>
      </c>
      <c r="C1089" s="2" t="s">
        <v>13</v>
      </c>
      <c r="D1089" s="2" t="s">
        <v>14</v>
      </c>
      <c r="E1089" s="2" t="s">
        <v>15</v>
      </c>
      <c r="F1089" s="4">
        <v>2876.13</v>
      </c>
    </row>
    <row r="1090" spans="1:6" ht="15" thickBot="1" x14ac:dyDescent="0.35">
      <c r="A1090" s="3" t="s">
        <v>154</v>
      </c>
      <c r="B1090" s="2" t="s">
        <v>12</v>
      </c>
      <c r="C1090" s="2" t="s">
        <v>13</v>
      </c>
      <c r="D1090" s="2" t="s">
        <v>28</v>
      </c>
      <c r="E1090" s="2" t="s">
        <v>24</v>
      </c>
      <c r="F1090" s="4">
        <v>1825.34</v>
      </c>
    </row>
    <row r="1091" spans="1:6" ht="15" thickBot="1" x14ac:dyDescent="0.35">
      <c r="A1091" s="3" t="s">
        <v>124</v>
      </c>
      <c r="B1091" s="2" t="s">
        <v>12</v>
      </c>
      <c r="C1091" s="2" t="s">
        <v>23</v>
      </c>
      <c r="D1091" s="2" t="s">
        <v>14</v>
      </c>
      <c r="E1091" s="2" t="s">
        <v>15</v>
      </c>
      <c r="F1091" s="4">
        <v>3246.39</v>
      </c>
    </row>
    <row r="1092" spans="1:6" ht="15" thickBot="1" x14ac:dyDescent="0.35">
      <c r="A1092" s="3" t="s">
        <v>42</v>
      </c>
      <c r="B1092" s="2" t="s">
        <v>30</v>
      </c>
      <c r="C1092" s="2" t="s">
        <v>8</v>
      </c>
      <c r="D1092" s="2" t="s">
        <v>28</v>
      </c>
      <c r="E1092" s="2" t="s">
        <v>10</v>
      </c>
      <c r="F1092" s="4">
        <v>1846.98</v>
      </c>
    </row>
    <row r="1093" spans="1:6" ht="15" thickBot="1" x14ac:dyDescent="0.35">
      <c r="A1093" s="3" t="s">
        <v>134</v>
      </c>
      <c r="B1093" s="2" t="s">
        <v>7</v>
      </c>
      <c r="C1093" s="2" t="s">
        <v>23</v>
      </c>
      <c r="D1093" s="2" t="s">
        <v>14</v>
      </c>
      <c r="E1093" s="2" t="s">
        <v>24</v>
      </c>
      <c r="F1093" s="4">
        <v>4193.53</v>
      </c>
    </row>
    <row r="1094" spans="1:6" ht="15" thickBot="1" x14ac:dyDescent="0.35">
      <c r="A1094" s="3" t="s">
        <v>135</v>
      </c>
      <c r="B1094" s="2" t="s">
        <v>12</v>
      </c>
      <c r="C1094" s="2" t="s">
        <v>34</v>
      </c>
      <c r="D1094" s="2" t="s">
        <v>28</v>
      </c>
      <c r="E1094" s="2" t="s">
        <v>10</v>
      </c>
      <c r="F1094" s="4">
        <v>1402.57</v>
      </c>
    </row>
    <row r="1095" spans="1:6" ht="15" thickBot="1" x14ac:dyDescent="0.35">
      <c r="A1095" s="3" t="s">
        <v>80</v>
      </c>
      <c r="B1095" s="2" t="s">
        <v>17</v>
      </c>
      <c r="C1095" s="2" t="s">
        <v>8</v>
      </c>
      <c r="D1095" s="2" t="s">
        <v>9</v>
      </c>
      <c r="E1095" s="2" t="s">
        <v>10</v>
      </c>
      <c r="F1095" s="4">
        <v>2860.1475580000001</v>
      </c>
    </row>
    <row r="1096" spans="1:6" ht="15" thickBot="1" x14ac:dyDescent="0.35">
      <c r="A1096" s="3" t="s">
        <v>62</v>
      </c>
      <c r="B1096" s="2" t="s">
        <v>30</v>
      </c>
      <c r="C1096" s="2" t="s">
        <v>13</v>
      </c>
      <c r="D1096" s="2" t="s">
        <v>28</v>
      </c>
      <c r="E1096" s="2" t="s">
        <v>15</v>
      </c>
      <c r="F1096" s="4">
        <v>1019.13</v>
      </c>
    </row>
    <row r="1097" spans="1:6" ht="15" thickBot="1" x14ac:dyDescent="0.35">
      <c r="A1097" s="3" t="s">
        <v>188</v>
      </c>
      <c r="B1097" s="2" t="s">
        <v>19</v>
      </c>
      <c r="C1097" s="2" t="s">
        <v>8</v>
      </c>
      <c r="D1097" s="2" t="s">
        <v>28</v>
      </c>
      <c r="E1097" s="2" t="s">
        <v>15</v>
      </c>
      <c r="F1097" s="4">
        <v>3886.16</v>
      </c>
    </row>
    <row r="1098" spans="1:6" ht="15" thickBot="1" x14ac:dyDescent="0.35">
      <c r="A1098" s="3" t="s">
        <v>125</v>
      </c>
      <c r="B1098" s="2" t="s">
        <v>7</v>
      </c>
      <c r="C1098" s="2" t="s">
        <v>34</v>
      </c>
      <c r="D1098" s="2" t="s">
        <v>9</v>
      </c>
      <c r="E1098" s="2" t="s">
        <v>15</v>
      </c>
      <c r="F1098" s="4">
        <v>2913.9286999999999</v>
      </c>
    </row>
    <row r="1099" spans="1:6" ht="15" thickBot="1" x14ac:dyDescent="0.35">
      <c r="A1099" s="3" t="s">
        <v>35</v>
      </c>
      <c r="B1099" s="2" t="s">
        <v>19</v>
      </c>
      <c r="C1099" s="2" t="s">
        <v>8</v>
      </c>
      <c r="D1099" s="2" t="s">
        <v>14</v>
      </c>
      <c r="E1099" s="2" t="s">
        <v>10</v>
      </c>
      <c r="F1099" s="4">
        <v>4929.24</v>
      </c>
    </row>
    <row r="1100" spans="1:6" ht="15" thickBot="1" x14ac:dyDescent="0.35">
      <c r="A1100" s="3" t="s">
        <v>48</v>
      </c>
      <c r="B1100" s="2" t="s">
        <v>19</v>
      </c>
      <c r="C1100" s="2" t="s">
        <v>13</v>
      </c>
      <c r="D1100" s="2" t="s">
        <v>14</v>
      </c>
      <c r="E1100" s="2" t="s">
        <v>10</v>
      </c>
      <c r="F1100" s="4">
        <v>197.22</v>
      </c>
    </row>
    <row r="1101" spans="1:6" ht="15" thickBot="1" x14ac:dyDescent="0.35">
      <c r="A1101" s="3" t="s">
        <v>205</v>
      </c>
      <c r="B1101" s="2" t="s">
        <v>17</v>
      </c>
      <c r="C1101" s="2" t="s">
        <v>34</v>
      </c>
      <c r="D1101" s="2" t="s">
        <v>28</v>
      </c>
      <c r="E1101" s="2" t="s">
        <v>10</v>
      </c>
      <c r="F1101" s="4">
        <v>3407.21</v>
      </c>
    </row>
    <row r="1102" spans="1:6" ht="15" thickBot="1" x14ac:dyDescent="0.35">
      <c r="A1102" s="3" t="s">
        <v>145</v>
      </c>
      <c r="B1102" s="2" t="s">
        <v>7</v>
      </c>
      <c r="C1102" s="2" t="s">
        <v>13</v>
      </c>
      <c r="D1102" s="2" t="s">
        <v>28</v>
      </c>
      <c r="E1102" s="2" t="s">
        <v>24</v>
      </c>
      <c r="F1102" s="4">
        <v>538.5</v>
      </c>
    </row>
    <row r="1103" spans="1:6" ht="15" thickBot="1" x14ac:dyDescent="0.35">
      <c r="A1103" s="3" t="s">
        <v>105</v>
      </c>
      <c r="B1103" s="2" t="s">
        <v>30</v>
      </c>
      <c r="C1103" s="2" t="s">
        <v>13</v>
      </c>
      <c r="D1103" s="2" t="s">
        <v>28</v>
      </c>
      <c r="E1103" s="2" t="s">
        <v>10</v>
      </c>
      <c r="F1103" s="4">
        <v>4976.37</v>
      </c>
    </row>
    <row r="1104" spans="1:6" ht="15" thickBot="1" x14ac:dyDescent="0.35">
      <c r="A1104" s="3" t="s">
        <v>131</v>
      </c>
      <c r="B1104" s="2" t="s">
        <v>17</v>
      </c>
      <c r="C1104" s="2" t="s">
        <v>8</v>
      </c>
      <c r="D1104" s="2" t="s">
        <v>14</v>
      </c>
      <c r="E1104" s="2" t="s">
        <v>24</v>
      </c>
      <c r="F1104" s="4">
        <v>1334.36</v>
      </c>
    </row>
    <row r="1105" spans="1:6" ht="15" thickBot="1" x14ac:dyDescent="0.35">
      <c r="A1105" s="3" t="s">
        <v>172</v>
      </c>
      <c r="B1105" s="2" t="s">
        <v>7</v>
      </c>
      <c r="C1105" s="2" t="s">
        <v>23</v>
      </c>
      <c r="D1105" s="2" t="s">
        <v>14</v>
      </c>
      <c r="E1105" s="2" t="s">
        <v>10</v>
      </c>
      <c r="F1105" s="4">
        <v>2641.31</v>
      </c>
    </row>
    <row r="1106" spans="1:6" ht="15" thickBot="1" x14ac:dyDescent="0.35">
      <c r="A1106" s="3" t="s">
        <v>196</v>
      </c>
      <c r="B1106" s="2" t="s">
        <v>30</v>
      </c>
      <c r="C1106" s="2" t="s">
        <v>13</v>
      </c>
      <c r="D1106" s="2" t="s">
        <v>9</v>
      </c>
      <c r="E1106" s="2" t="s">
        <v>24</v>
      </c>
      <c r="F1106" s="4">
        <v>3466.627704</v>
      </c>
    </row>
    <row r="1107" spans="1:6" ht="15" thickBot="1" x14ac:dyDescent="0.35">
      <c r="A1107" s="3" t="s">
        <v>152</v>
      </c>
      <c r="B1107" s="2" t="s">
        <v>30</v>
      </c>
      <c r="C1107" s="2" t="s">
        <v>8</v>
      </c>
      <c r="D1107" s="2" t="s">
        <v>14</v>
      </c>
      <c r="E1107" s="2" t="s">
        <v>24</v>
      </c>
      <c r="F1107" s="4">
        <v>4682.5600000000004</v>
      </c>
    </row>
    <row r="1108" spans="1:6" ht="15" thickBot="1" x14ac:dyDescent="0.35">
      <c r="A1108" s="3" t="s">
        <v>202</v>
      </c>
      <c r="B1108" s="2" t="s">
        <v>12</v>
      </c>
      <c r="C1108" s="2" t="s">
        <v>13</v>
      </c>
      <c r="D1108" s="2" t="s">
        <v>14</v>
      </c>
      <c r="E1108" s="2" t="s">
        <v>24</v>
      </c>
      <c r="F1108" s="4">
        <v>272.64</v>
      </c>
    </row>
    <row r="1109" spans="1:6" ht="15" thickBot="1" x14ac:dyDescent="0.35">
      <c r="A1109" s="3" t="s">
        <v>116</v>
      </c>
      <c r="B1109" s="2" t="s">
        <v>17</v>
      </c>
      <c r="C1109" s="2" t="s">
        <v>23</v>
      </c>
      <c r="D1109" s="2" t="s">
        <v>14</v>
      </c>
      <c r="E1109" s="2" t="s">
        <v>24</v>
      </c>
      <c r="F1109" s="4">
        <v>4584.96</v>
      </c>
    </row>
    <row r="1110" spans="1:6" ht="15" thickBot="1" x14ac:dyDescent="0.35">
      <c r="A1110" s="3" t="s">
        <v>175</v>
      </c>
      <c r="B1110" s="2" t="s">
        <v>7</v>
      </c>
      <c r="C1110" s="2" t="s">
        <v>23</v>
      </c>
      <c r="D1110" s="2" t="s">
        <v>14</v>
      </c>
      <c r="E1110" s="2" t="s">
        <v>15</v>
      </c>
      <c r="F1110" s="4">
        <v>3965.06</v>
      </c>
    </row>
    <row r="1111" spans="1:6" ht="15" thickBot="1" x14ac:dyDescent="0.35">
      <c r="A1111" s="3" t="s">
        <v>68</v>
      </c>
      <c r="B1111" s="2" t="s">
        <v>12</v>
      </c>
      <c r="C1111" s="2" t="s">
        <v>8</v>
      </c>
      <c r="D1111" s="2" t="s">
        <v>9</v>
      </c>
      <c r="E1111" s="2" t="s">
        <v>24</v>
      </c>
      <c r="F1111" s="4">
        <v>1855.0036909999999</v>
      </c>
    </row>
    <row r="1112" spans="1:6" ht="15" thickBot="1" x14ac:dyDescent="0.35">
      <c r="A1112" s="3" t="s">
        <v>58</v>
      </c>
      <c r="B1112" s="2" t="s">
        <v>17</v>
      </c>
      <c r="C1112" s="2" t="s">
        <v>34</v>
      </c>
      <c r="D1112" s="2" t="s">
        <v>9</v>
      </c>
      <c r="E1112" s="2" t="s">
        <v>10</v>
      </c>
      <c r="F1112" s="4">
        <v>1170.4913859999999</v>
      </c>
    </row>
    <row r="1113" spans="1:6" ht="15" thickBot="1" x14ac:dyDescent="0.35">
      <c r="A1113" s="3" t="s">
        <v>90</v>
      </c>
      <c r="B1113" s="2" t="s">
        <v>19</v>
      </c>
      <c r="C1113" s="2" t="s">
        <v>23</v>
      </c>
      <c r="D1113" s="2" t="s">
        <v>14</v>
      </c>
      <c r="E1113" s="2" t="s">
        <v>10</v>
      </c>
      <c r="F1113" s="4">
        <v>2881.56</v>
      </c>
    </row>
    <row r="1114" spans="1:6" ht="15" thickBot="1" x14ac:dyDescent="0.35">
      <c r="A1114" s="3" t="s">
        <v>73</v>
      </c>
      <c r="B1114" s="2" t="s">
        <v>30</v>
      </c>
      <c r="C1114" s="2" t="s">
        <v>34</v>
      </c>
      <c r="D1114" s="2" t="s">
        <v>14</v>
      </c>
      <c r="E1114" s="2" t="s">
        <v>24</v>
      </c>
      <c r="F1114" s="4">
        <v>4820.21</v>
      </c>
    </row>
    <row r="1115" spans="1:6" ht="15" thickBot="1" x14ac:dyDescent="0.35">
      <c r="A1115" s="3" t="s">
        <v>122</v>
      </c>
      <c r="B1115" s="2" t="s">
        <v>19</v>
      </c>
      <c r="C1115" s="2" t="s">
        <v>8</v>
      </c>
      <c r="D1115" s="2" t="s">
        <v>14</v>
      </c>
      <c r="E1115" s="2" t="s">
        <v>15</v>
      </c>
      <c r="F1115" s="4">
        <v>2635.84</v>
      </c>
    </row>
    <row r="1116" spans="1:6" ht="15" thickBot="1" x14ac:dyDescent="0.35">
      <c r="A1116" s="3" t="s">
        <v>25</v>
      </c>
      <c r="B1116" s="2" t="s">
        <v>19</v>
      </c>
      <c r="C1116" s="2" t="s">
        <v>34</v>
      </c>
      <c r="D1116" s="2" t="s">
        <v>28</v>
      </c>
      <c r="E1116" s="2" t="s">
        <v>15</v>
      </c>
      <c r="F1116" s="4">
        <v>3933.16</v>
      </c>
    </row>
    <row r="1117" spans="1:6" ht="15" thickBot="1" x14ac:dyDescent="0.35">
      <c r="A1117" s="3" t="s">
        <v>33</v>
      </c>
      <c r="B1117" s="2" t="s">
        <v>19</v>
      </c>
      <c r="C1117" s="2" t="s">
        <v>23</v>
      </c>
      <c r="D1117" s="2" t="s">
        <v>14</v>
      </c>
      <c r="E1117" s="2" t="s">
        <v>24</v>
      </c>
      <c r="F1117" s="4">
        <v>425.14</v>
      </c>
    </row>
    <row r="1118" spans="1:6" ht="15" thickBot="1" x14ac:dyDescent="0.35">
      <c r="A1118" s="3" t="s">
        <v>136</v>
      </c>
      <c r="B1118" s="2" t="s">
        <v>17</v>
      </c>
      <c r="C1118" s="2" t="s">
        <v>23</v>
      </c>
      <c r="D1118" s="2" t="s">
        <v>28</v>
      </c>
      <c r="E1118" s="2" t="s">
        <v>24</v>
      </c>
      <c r="F1118" s="4">
        <v>3494.61</v>
      </c>
    </row>
    <row r="1119" spans="1:6" ht="15" thickBot="1" x14ac:dyDescent="0.35">
      <c r="A1119" s="3" t="s">
        <v>204</v>
      </c>
      <c r="B1119" s="2" t="s">
        <v>30</v>
      </c>
      <c r="C1119" s="2" t="s">
        <v>23</v>
      </c>
      <c r="D1119" s="2" t="s">
        <v>9</v>
      </c>
      <c r="E1119" s="2" t="s">
        <v>10</v>
      </c>
      <c r="F1119" s="4">
        <v>3199.7601610000002</v>
      </c>
    </row>
    <row r="1120" spans="1:6" ht="15" thickBot="1" x14ac:dyDescent="0.35">
      <c r="A1120" s="3" t="s">
        <v>183</v>
      </c>
      <c r="B1120" s="2" t="s">
        <v>7</v>
      </c>
      <c r="C1120" s="2" t="s">
        <v>8</v>
      </c>
      <c r="D1120" s="2" t="s">
        <v>14</v>
      </c>
      <c r="E1120" s="2" t="s">
        <v>15</v>
      </c>
      <c r="F1120" s="4">
        <v>290.08999999999997</v>
      </c>
    </row>
    <row r="1121" spans="1:6" ht="15" thickBot="1" x14ac:dyDescent="0.35">
      <c r="A1121" s="3" t="s">
        <v>166</v>
      </c>
      <c r="B1121" s="2" t="s">
        <v>7</v>
      </c>
      <c r="C1121" s="2" t="s">
        <v>23</v>
      </c>
      <c r="D1121" s="2" t="s">
        <v>28</v>
      </c>
      <c r="E1121" s="2" t="s">
        <v>15</v>
      </c>
      <c r="F1121" s="4">
        <v>1123.56</v>
      </c>
    </row>
    <row r="1122" spans="1:6" ht="15" thickBot="1" x14ac:dyDescent="0.35">
      <c r="A1122" s="3" t="s">
        <v>206</v>
      </c>
      <c r="B1122" s="2" t="s">
        <v>19</v>
      </c>
      <c r="C1122" s="2" t="s">
        <v>8</v>
      </c>
      <c r="D1122" s="2" t="s">
        <v>28</v>
      </c>
      <c r="E1122" s="2" t="s">
        <v>10</v>
      </c>
      <c r="F1122" s="4">
        <v>1109.47</v>
      </c>
    </row>
    <row r="1123" spans="1:6" ht="15" thickBot="1" x14ac:dyDescent="0.35">
      <c r="A1123" s="3" t="s">
        <v>47</v>
      </c>
      <c r="B1123" s="2" t="s">
        <v>30</v>
      </c>
      <c r="C1123" s="2" t="s">
        <v>34</v>
      </c>
      <c r="D1123" s="2" t="s">
        <v>9</v>
      </c>
      <c r="E1123" s="2" t="s">
        <v>10</v>
      </c>
      <c r="F1123" s="4">
        <v>1044.9244289999999</v>
      </c>
    </row>
    <row r="1124" spans="1:6" ht="15" thickBot="1" x14ac:dyDescent="0.35">
      <c r="A1124" s="3" t="s">
        <v>50</v>
      </c>
      <c r="B1124" s="2" t="s">
        <v>19</v>
      </c>
      <c r="C1124" s="2" t="s">
        <v>13</v>
      </c>
      <c r="D1124" s="2" t="s">
        <v>9</v>
      </c>
      <c r="E1124" s="2" t="s">
        <v>15</v>
      </c>
      <c r="F1124" s="4">
        <v>5387.6739100000004</v>
      </c>
    </row>
    <row r="1125" spans="1:6" ht="15" thickBot="1" x14ac:dyDescent="0.35">
      <c r="A1125" s="3" t="s">
        <v>130</v>
      </c>
      <c r="B1125" s="2" t="s">
        <v>12</v>
      </c>
      <c r="C1125" s="2" t="s">
        <v>13</v>
      </c>
      <c r="D1125" s="2" t="s">
        <v>9</v>
      </c>
      <c r="E1125" s="2" t="s">
        <v>10</v>
      </c>
      <c r="F1125" s="4">
        <v>3244.167426</v>
      </c>
    </row>
    <row r="1126" spans="1:6" ht="15" thickBot="1" x14ac:dyDescent="0.35">
      <c r="A1126" s="3" t="s">
        <v>125</v>
      </c>
      <c r="B1126" s="2" t="s">
        <v>7</v>
      </c>
      <c r="C1126" s="2" t="s">
        <v>34</v>
      </c>
      <c r="D1126" s="2" t="s">
        <v>14</v>
      </c>
      <c r="E1126" s="2" t="s">
        <v>15</v>
      </c>
      <c r="F1126" s="4">
        <v>3954.01</v>
      </c>
    </row>
    <row r="1127" spans="1:6" ht="15" thickBot="1" x14ac:dyDescent="0.35">
      <c r="A1127" s="3" t="s">
        <v>147</v>
      </c>
      <c r="B1127" s="2" t="s">
        <v>17</v>
      </c>
      <c r="C1127" s="2" t="s">
        <v>34</v>
      </c>
      <c r="D1127" s="2" t="s">
        <v>14</v>
      </c>
      <c r="E1127" s="2" t="s">
        <v>24</v>
      </c>
      <c r="F1127" s="4">
        <v>1475.99</v>
      </c>
    </row>
    <row r="1128" spans="1:6" ht="15" thickBot="1" x14ac:dyDescent="0.35">
      <c r="A1128" s="3" t="s">
        <v>120</v>
      </c>
      <c r="B1128" s="2" t="s">
        <v>30</v>
      </c>
      <c r="C1128" s="2" t="s">
        <v>34</v>
      </c>
      <c r="D1128" s="2" t="s">
        <v>9</v>
      </c>
      <c r="E1128" s="2" t="s">
        <v>24</v>
      </c>
      <c r="F1128" s="4">
        <v>4669.976944</v>
      </c>
    </row>
    <row r="1129" spans="1:6" ht="15" thickBot="1" x14ac:dyDescent="0.35">
      <c r="A1129" s="3" t="s">
        <v>138</v>
      </c>
      <c r="B1129" s="2" t="s">
        <v>12</v>
      </c>
      <c r="C1129" s="2" t="s">
        <v>13</v>
      </c>
      <c r="D1129" s="2" t="s">
        <v>9</v>
      </c>
      <c r="E1129" s="2" t="s">
        <v>15</v>
      </c>
      <c r="F1129" s="4">
        <v>502.5731907</v>
      </c>
    </row>
    <row r="1130" spans="1:6" ht="15" thickBot="1" x14ac:dyDescent="0.35">
      <c r="A1130" s="3" t="s">
        <v>166</v>
      </c>
      <c r="B1130" s="2" t="s">
        <v>7</v>
      </c>
      <c r="C1130" s="2" t="s">
        <v>8</v>
      </c>
      <c r="D1130" s="2" t="s">
        <v>14</v>
      </c>
      <c r="E1130" s="2" t="s">
        <v>10</v>
      </c>
      <c r="F1130" s="4">
        <v>2663.13</v>
      </c>
    </row>
    <row r="1131" spans="1:6" ht="15" thickBot="1" x14ac:dyDescent="0.35">
      <c r="A1131" s="3" t="s">
        <v>188</v>
      </c>
      <c r="B1131" s="2" t="s">
        <v>19</v>
      </c>
      <c r="C1131" s="2" t="s">
        <v>13</v>
      </c>
      <c r="D1131" s="2" t="s">
        <v>14</v>
      </c>
      <c r="E1131" s="2" t="s">
        <v>15</v>
      </c>
      <c r="F1131" s="4">
        <v>3327.22</v>
      </c>
    </row>
    <row r="1132" spans="1:6" ht="15" thickBot="1" x14ac:dyDescent="0.35">
      <c r="A1132" s="3" t="s">
        <v>198</v>
      </c>
      <c r="B1132" s="2" t="s">
        <v>12</v>
      </c>
      <c r="C1132" s="2" t="s">
        <v>23</v>
      </c>
      <c r="D1132" s="2" t="s">
        <v>14</v>
      </c>
      <c r="E1132" s="2" t="s">
        <v>10</v>
      </c>
      <c r="F1132" s="4">
        <v>441.04</v>
      </c>
    </row>
    <row r="1133" spans="1:6" ht="15" thickBot="1" x14ac:dyDescent="0.35">
      <c r="A1133" s="3" t="s">
        <v>31</v>
      </c>
      <c r="B1133" s="2" t="s">
        <v>30</v>
      </c>
      <c r="C1133" s="2" t="s">
        <v>13</v>
      </c>
      <c r="D1133" s="2" t="s">
        <v>9</v>
      </c>
      <c r="E1133" s="2" t="s">
        <v>10</v>
      </c>
      <c r="F1133" s="4">
        <v>1466.4726929999999</v>
      </c>
    </row>
    <row r="1134" spans="1:6" ht="15" thickBot="1" x14ac:dyDescent="0.35">
      <c r="A1134" s="3" t="s">
        <v>95</v>
      </c>
      <c r="B1134" s="2" t="s">
        <v>30</v>
      </c>
      <c r="C1134" s="2" t="s">
        <v>34</v>
      </c>
      <c r="D1134" s="2" t="s">
        <v>9</v>
      </c>
      <c r="E1134" s="2" t="s">
        <v>10</v>
      </c>
      <c r="F1134" s="4">
        <v>5076.0106109999997</v>
      </c>
    </row>
    <row r="1135" spans="1:6" ht="15" thickBot="1" x14ac:dyDescent="0.35">
      <c r="A1135" s="3" t="s">
        <v>41</v>
      </c>
      <c r="B1135" s="2" t="s">
        <v>30</v>
      </c>
      <c r="C1135" s="2" t="s">
        <v>34</v>
      </c>
      <c r="D1135" s="2" t="s">
        <v>28</v>
      </c>
      <c r="E1135" s="2" t="s">
        <v>10</v>
      </c>
      <c r="F1135" s="4">
        <v>3971.86</v>
      </c>
    </row>
    <row r="1136" spans="1:6" ht="15" thickBot="1" x14ac:dyDescent="0.35">
      <c r="A1136" s="3" t="s">
        <v>189</v>
      </c>
      <c r="B1136" s="2" t="s">
        <v>19</v>
      </c>
      <c r="C1136" s="2" t="s">
        <v>23</v>
      </c>
      <c r="D1136" s="2" t="s">
        <v>28</v>
      </c>
      <c r="E1136" s="2" t="s">
        <v>10</v>
      </c>
      <c r="F1136" s="4">
        <v>3120.88</v>
      </c>
    </row>
    <row r="1137" spans="1:6" ht="15" thickBot="1" x14ac:dyDescent="0.35">
      <c r="A1137" s="3" t="s">
        <v>25</v>
      </c>
      <c r="B1137" s="2" t="s">
        <v>19</v>
      </c>
      <c r="C1137" s="2" t="s">
        <v>23</v>
      </c>
      <c r="D1137" s="2" t="s">
        <v>14</v>
      </c>
      <c r="E1137" s="2" t="s">
        <v>15</v>
      </c>
      <c r="F1137" s="4">
        <v>3407.69</v>
      </c>
    </row>
    <row r="1138" spans="1:6" ht="15" thickBot="1" x14ac:dyDescent="0.35">
      <c r="A1138" s="3" t="s">
        <v>103</v>
      </c>
      <c r="B1138" s="2" t="s">
        <v>19</v>
      </c>
      <c r="C1138" s="2" t="s">
        <v>8</v>
      </c>
      <c r="D1138" s="2" t="s">
        <v>9</v>
      </c>
      <c r="E1138" s="2" t="s">
        <v>10</v>
      </c>
      <c r="F1138" s="4">
        <v>4867.8938900000003</v>
      </c>
    </row>
    <row r="1139" spans="1:6" ht="15" thickBot="1" x14ac:dyDescent="0.35">
      <c r="A1139" s="3" t="s">
        <v>56</v>
      </c>
      <c r="B1139" s="2" t="s">
        <v>19</v>
      </c>
      <c r="C1139" s="2" t="s">
        <v>13</v>
      </c>
      <c r="D1139" s="2" t="s">
        <v>14</v>
      </c>
      <c r="E1139" s="2" t="s">
        <v>15</v>
      </c>
      <c r="F1139" s="4">
        <v>1080.8399999999999</v>
      </c>
    </row>
    <row r="1140" spans="1:6" ht="15" thickBot="1" x14ac:dyDescent="0.35">
      <c r="A1140" s="3" t="s">
        <v>171</v>
      </c>
      <c r="B1140" s="2" t="s">
        <v>17</v>
      </c>
      <c r="C1140" s="2" t="s">
        <v>23</v>
      </c>
      <c r="D1140" s="2" t="s">
        <v>9</v>
      </c>
      <c r="E1140" s="2" t="s">
        <v>24</v>
      </c>
      <c r="F1140" s="4">
        <v>1196.416798</v>
      </c>
    </row>
    <row r="1141" spans="1:6" ht="15" thickBot="1" x14ac:dyDescent="0.35">
      <c r="A1141" s="3" t="s">
        <v>176</v>
      </c>
      <c r="B1141" s="2" t="s">
        <v>19</v>
      </c>
      <c r="C1141" s="2" t="s">
        <v>34</v>
      </c>
      <c r="D1141" s="2" t="s">
        <v>14</v>
      </c>
      <c r="E1141" s="2" t="s">
        <v>15</v>
      </c>
      <c r="F1141" s="4">
        <v>2634.83</v>
      </c>
    </row>
    <row r="1142" spans="1:6" ht="15" thickBot="1" x14ac:dyDescent="0.35">
      <c r="A1142" s="3" t="s">
        <v>181</v>
      </c>
      <c r="B1142" s="2" t="s">
        <v>30</v>
      </c>
      <c r="C1142" s="2" t="s">
        <v>23</v>
      </c>
      <c r="D1142" s="2" t="s">
        <v>9</v>
      </c>
      <c r="E1142" s="2" t="s">
        <v>10</v>
      </c>
      <c r="F1142" s="4">
        <v>3396.5836939999999</v>
      </c>
    </row>
    <row r="1143" spans="1:6" ht="15" thickBot="1" x14ac:dyDescent="0.35">
      <c r="A1143" s="3" t="s">
        <v>186</v>
      </c>
      <c r="B1143" s="2" t="s">
        <v>30</v>
      </c>
      <c r="C1143" s="2" t="s">
        <v>13</v>
      </c>
      <c r="D1143" s="2" t="s">
        <v>14</v>
      </c>
      <c r="E1143" s="2" t="s">
        <v>15</v>
      </c>
      <c r="F1143" s="4">
        <v>4067.32</v>
      </c>
    </row>
    <row r="1144" spans="1:6" ht="15" thickBot="1" x14ac:dyDescent="0.35">
      <c r="A1144" s="3" t="s">
        <v>183</v>
      </c>
      <c r="B1144" s="2" t="s">
        <v>7</v>
      </c>
      <c r="C1144" s="2" t="s">
        <v>13</v>
      </c>
      <c r="D1144" s="2" t="s">
        <v>9</v>
      </c>
      <c r="E1144" s="2" t="s">
        <v>10</v>
      </c>
      <c r="F1144" s="4">
        <v>1241.4128969999999</v>
      </c>
    </row>
    <row r="1145" spans="1:6" ht="15" thickBot="1" x14ac:dyDescent="0.35">
      <c r="A1145" s="3" t="s">
        <v>52</v>
      </c>
      <c r="B1145" s="2" t="s">
        <v>19</v>
      </c>
      <c r="C1145" s="2" t="s">
        <v>23</v>
      </c>
      <c r="D1145" s="2" t="s">
        <v>14</v>
      </c>
      <c r="E1145" s="2" t="s">
        <v>24</v>
      </c>
      <c r="F1145" s="4">
        <v>3737.92</v>
      </c>
    </row>
    <row r="1146" spans="1:6" ht="15" thickBot="1" x14ac:dyDescent="0.35">
      <c r="A1146" s="3" t="s">
        <v>70</v>
      </c>
      <c r="B1146" s="2" t="s">
        <v>19</v>
      </c>
      <c r="C1146" s="2" t="s">
        <v>34</v>
      </c>
      <c r="D1146" s="2" t="s">
        <v>9</v>
      </c>
      <c r="E1146" s="2" t="s">
        <v>24</v>
      </c>
      <c r="F1146" s="4">
        <v>443.26562319999999</v>
      </c>
    </row>
    <row r="1147" spans="1:6" ht="15" thickBot="1" x14ac:dyDescent="0.35">
      <c r="A1147" s="3" t="s">
        <v>175</v>
      </c>
      <c r="B1147" s="2" t="s">
        <v>7</v>
      </c>
      <c r="C1147" s="2" t="s">
        <v>13</v>
      </c>
      <c r="D1147" s="2" t="s">
        <v>14</v>
      </c>
      <c r="E1147" s="2" t="s">
        <v>24</v>
      </c>
      <c r="F1147" s="4">
        <v>179.8</v>
      </c>
    </row>
    <row r="1148" spans="1:6" ht="15" thickBot="1" x14ac:dyDescent="0.35">
      <c r="A1148" s="3" t="s">
        <v>79</v>
      </c>
      <c r="B1148" s="2" t="s">
        <v>17</v>
      </c>
      <c r="C1148" s="2" t="s">
        <v>13</v>
      </c>
      <c r="D1148" s="2" t="s">
        <v>9</v>
      </c>
      <c r="E1148" s="2" t="s">
        <v>15</v>
      </c>
      <c r="F1148" s="4">
        <v>253.07943309999999</v>
      </c>
    </row>
    <row r="1149" spans="1:6" ht="15" thickBot="1" x14ac:dyDescent="0.35">
      <c r="A1149" s="3" t="s">
        <v>60</v>
      </c>
      <c r="B1149" s="2" t="s">
        <v>12</v>
      </c>
      <c r="C1149" s="2" t="s">
        <v>8</v>
      </c>
      <c r="D1149" s="2" t="s">
        <v>28</v>
      </c>
      <c r="E1149" s="2" t="s">
        <v>24</v>
      </c>
      <c r="F1149" s="4">
        <v>584.44000000000005</v>
      </c>
    </row>
    <row r="1150" spans="1:6" ht="15" thickBot="1" x14ac:dyDescent="0.35">
      <c r="A1150" s="3" t="s">
        <v>85</v>
      </c>
      <c r="B1150" s="2" t="s">
        <v>30</v>
      </c>
      <c r="C1150" s="2" t="s">
        <v>8</v>
      </c>
      <c r="D1150" s="2" t="s">
        <v>9</v>
      </c>
      <c r="E1150" s="2" t="s">
        <v>10</v>
      </c>
      <c r="F1150" s="4">
        <v>858.27154150000001</v>
      </c>
    </row>
    <row r="1151" spans="1:6" ht="15" thickBot="1" x14ac:dyDescent="0.35">
      <c r="A1151" s="3" t="s">
        <v>31</v>
      </c>
      <c r="B1151" s="2" t="s">
        <v>30</v>
      </c>
      <c r="C1151" s="2" t="s">
        <v>13</v>
      </c>
      <c r="D1151" s="2" t="s">
        <v>28</v>
      </c>
      <c r="E1151" s="2" t="s">
        <v>15</v>
      </c>
      <c r="F1151" s="4">
        <v>220.63</v>
      </c>
    </row>
    <row r="1152" spans="1:6" ht="15" thickBot="1" x14ac:dyDescent="0.35">
      <c r="A1152" s="3" t="s">
        <v>71</v>
      </c>
      <c r="B1152" s="2" t="s">
        <v>7</v>
      </c>
      <c r="C1152" s="2" t="s">
        <v>13</v>
      </c>
      <c r="D1152" s="2" t="s">
        <v>14</v>
      </c>
      <c r="E1152" s="2" t="s">
        <v>24</v>
      </c>
      <c r="F1152" s="4">
        <v>4665.38</v>
      </c>
    </row>
    <row r="1153" spans="1:6" ht="15" thickBot="1" x14ac:dyDescent="0.35">
      <c r="A1153" s="3" t="s">
        <v>212</v>
      </c>
      <c r="B1153" s="2" t="s">
        <v>7</v>
      </c>
      <c r="C1153" s="2" t="s">
        <v>13</v>
      </c>
      <c r="D1153" s="2" t="s">
        <v>14</v>
      </c>
      <c r="E1153" s="2" t="s">
        <v>15</v>
      </c>
      <c r="F1153" s="4">
        <v>3677.45</v>
      </c>
    </row>
    <row r="1154" spans="1:6" ht="15" thickBot="1" x14ac:dyDescent="0.35">
      <c r="A1154" s="3" t="s">
        <v>16</v>
      </c>
      <c r="B1154" s="2" t="s">
        <v>17</v>
      </c>
      <c r="C1154" s="2" t="s">
        <v>13</v>
      </c>
      <c r="D1154" s="2" t="s">
        <v>28</v>
      </c>
      <c r="E1154" s="2" t="s">
        <v>10</v>
      </c>
      <c r="F1154" s="4">
        <v>3434.59</v>
      </c>
    </row>
    <row r="1155" spans="1:6" ht="15" thickBot="1" x14ac:dyDescent="0.35">
      <c r="A1155" s="3" t="s">
        <v>40</v>
      </c>
      <c r="B1155" s="2" t="s">
        <v>19</v>
      </c>
      <c r="C1155" s="2" t="s">
        <v>34</v>
      </c>
      <c r="D1155" s="2" t="s">
        <v>9</v>
      </c>
      <c r="E1155" s="2" t="s">
        <v>24</v>
      </c>
      <c r="F1155" s="4">
        <v>1175.5930510000001</v>
      </c>
    </row>
    <row r="1156" spans="1:6" ht="15" thickBot="1" x14ac:dyDescent="0.35">
      <c r="A1156" s="3" t="s">
        <v>208</v>
      </c>
      <c r="B1156" s="2" t="s">
        <v>19</v>
      </c>
      <c r="C1156" s="2" t="s">
        <v>34</v>
      </c>
      <c r="D1156" s="2" t="s">
        <v>9</v>
      </c>
      <c r="E1156" s="2" t="s">
        <v>15</v>
      </c>
      <c r="F1156" s="4">
        <v>5155.3973189999997</v>
      </c>
    </row>
    <row r="1157" spans="1:6" ht="15" thickBot="1" x14ac:dyDescent="0.35">
      <c r="A1157" s="3" t="s">
        <v>148</v>
      </c>
      <c r="B1157" s="2" t="s">
        <v>17</v>
      </c>
      <c r="C1157" s="2" t="s">
        <v>34</v>
      </c>
      <c r="D1157" s="2" t="s">
        <v>14</v>
      </c>
      <c r="E1157" s="2" t="s">
        <v>10</v>
      </c>
      <c r="F1157" s="4">
        <v>4426.07</v>
      </c>
    </row>
    <row r="1158" spans="1:6" ht="15" thickBot="1" x14ac:dyDescent="0.35">
      <c r="A1158" s="3" t="s">
        <v>20</v>
      </c>
      <c r="B1158" s="2" t="s">
        <v>17</v>
      </c>
      <c r="C1158" s="2" t="s">
        <v>8</v>
      </c>
      <c r="D1158" s="2" t="s">
        <v>14</v>
      </c>
      <c r="E1158" s="2" t="s">
        <v>24</v>
      </c>
      <c r="F1158" s="4">
        <v>4487.54</v>
      </c>
    </row>
    <row r="1159" spans="1:6" ht="15" thickBot="1" x14ac:dyDescent="0.35">
      <c r="A1159" s="3" t="s">
        <v>209</v>
      </c>
      <c r="B1159" s="2" t="s">
        <v>7</v>
      </c>
      <c r="C1159" s="2" t="s">
        <v>13</v>
      </c>
      <c r="D1159" s="2" t="s">
        <v>28</v>
      </c>
      <c r="E1159" s="2" t="s">
        <v>15</v>
      </c>
      <c r="F1159" s="4">
        <v>844.07</v>
      </c>
    </row>
    <row r="1160" spans="1:6" ht="15" thickBot="1" x14ac:dyDescent="0.35">
      <c r="A1160" s="3" t="s">
        <v>157</v>
      </c>
      <c r="B1160" s="2" t="s">
        <v>30</v>
      </c>
      <c r="C1160" s="2" t="s">
        <v>34</v>
      </c>
      <c r="D1160" s="2" t="s">
        <v>28</v>
      </c>
      <c r="E1160" s="2" t="s">
        <v>24</v>
      </c>
      <c r="F1160" s="4">
        <v>808.96</v>
      </c>
    </row>
    <row r="1161" spans="1:6" ht="15" thickBot="1" x14ac:dyDescent="0.35">
      <c r="A1161" s="3" t="s">
        <v>54</v>
      </c>
      <c r="B1161" s="2" t="s">
        <v>12</v>
      </c>
      <c r="C1161" s="2" t="s">
        <v>23</v>
      </c>
      <c r="D1161" s="2" t="s">
        <v>9</v>
      </c>
      <c r="E1161" s="2" t="s">
        <v>10</v>
      </c>
      <c r="F1161" s="4">
        <v>4896.916663</v>
      </c>
    </row>
    <row r="1162" spans="1:6" ht="15" thickBot="1" x14ac:dyDescent="0.35">
      <c r="A1162" s="3" t="s">
        <v>151</v>
      </c>
      <c r="B1162" s="2" t="s">
        <v>12</v>
      </c>
      <c r="C1162" s="2" t="s">
        <v>8</v>
      </c>
      <c r="D1162" s="2" t="s">
        <v>9</v>
      </c>
      <c r="E1162" s="2" t="s">
        <v>10</v>
      </c>
      <c r="F1162" s="4">
        <v>191.17</v>
      </c>
    </row>
    <row r="1163" spans="1:6" ht="15" thickBot="1" x14ac:dyDescent="0.35">
      <c r="A1163" s="3" t="s">
        <v>137</v>
      </c>
      <c r="B1163" s="2" t="s">
        <v>17</v>
      </c>
      <c r="C1163" s="2" t="s">
        <v>34</v>
      </c>
      <c r="D1163" s="2" t="s">
        <v>14</v>
      </c>
      <c r="E1163" s="2" t="s">
        <v>10</v>
      </c>
      <c r="F1163" s="4">
        <v>1697.2</v>
      </c>
    </row>
    <row r="1164" spans="1:6" ht="15" thickBot="1" x14ac:dyDescent="0.35">
      <c r="A1164" s="3" t="s">
        <v>57</v>
      </c>
      <c r="B1164" s="2" t="s">
        <v>19</v>
      </c>
      <c r="C1164" s="2" t="s">
        <v>8</v>
      </c>
      <c r="D1164" s="2" t="s">
        <v>9</v>
      </c>
      <c r="E1164" s="2" t="s">
        <v>24</v>
      </c>
      <c r="F1164" s="4">
        <v>4105.0089230000003</v>
      </c>
    </row>
    <row r="1165" spans="1:6" ht="15" thickBot="1" x14ac:dyDescent="0.35">
      <c r="A1165" s="3" t="s">
        <v>80</v>
      </c>
      <c r="B1165" s="2" t="s">
        <v>17</v>
      </c>
      <c r="C1165" s="2" t="s">
        <v>13</v>
      </c>
      <c r="D1165" s="2" t="s">
        <v>28</v>
      </c>
      <c r="E1165" s="2" t="s">
        <v>10</v>
      </c>
      <c r="F1165" s="4">
        <v>4095.94</v>
      </c>
    </row>
    <row r="1166" spans="1:6" ht="15" thickBot="1" x14ac:dyDescent="0.35">
      <c r="A1166" s="3" t="s">
        <v>99</v>
      </c>
      <c r="B1166" s="2" t="s">
        <v>19</v>
      </c>
      <c r="C1166" s="2" t="s">
        <v>8</v>
      </c>
      <c r="D1166" s="2" t="s">
        <v>14</v>
      </c>
      <c r="E1166" s="2" t="s">
        <v>24</v>
      </c>
      <c r="F1166" s="4">
        <v>1094.42</v>
      </c>
    </row>
    <row r="1167" spans="1:6" ht="15" thickBot="1" x14ac:dyDescent="0.35">
      <c r="A1167" s="3" t="s">
        <v>178</v>
      </c>
      <c r="B1167" s="2" t="s">
        <v>30</v>
      </c>
      <c r="C1167" s="2" t="s">
        <v>34</v>
      </c>
      <c r="D1167" s="2" t="s">
        <v>9</v>
      </c>
      <c r="E1167" s="2" t="s">
        <v>15</v>
      </c>
      <c r="F1167" s="4">
        <v>2501.4700050000001</v>
      </c>
    </row>
    <row r="1168" spans="1:6" ht="15" thickBot="1" x14ac:dyDescent="0.35">
      <c r="A1168" s="3" t="s">
        <v>138</v>
      </c>
      <c r="B1168" s="2" t="s">
        <v>12</v>
      </c>
      <c r="C1168" s="2" t="s">
        <v>34</v>
      </c>
      <c r="D1168" s="2" t="s">
        <v>14</v>
      </c>
      <c r="E1168" s="2" t="s">
        <v>24</v>
      </c>
      <c r="F1168" s="4">
        <v>1137.71</v>
      </c>
    </row>
    <row r="1169" spans="1:6" ht="15" thickBot="1" x14ac:dyDescent="0.35">
      <c r="A1169" s="3" t="s">
        <v>113</v>
      </c>
      <c r="B1169" s="2" t="s">
        <v>30</v>
      </c>
      <c r="C1169" s="2" t="s">
        <v>23</v>
      </c>
      <c r="D1169" s="2" t="s">
        <v>28</v>
      </c>
      <c r="E1169" s="2" t="s">
        <v>15</v>
      </c>
      <c r="F1169" s="4">
        <v>2685.34</v>
      </c>
    </row>
    <row r="1170" spans="1:6" ht="15" thickBot="1" x14ac:dyDescent="0.35">
      <c r="A1170" s="3" t="s">
        <v>184</v>
      </c>
      <c r="B1170" s="2" t="s">
        <v>30</v>
      </c>
      <c r="C1170" s="2" t="s">
        <v>13</v>
      </c>
      <c r="D1170" s="2" t="s">
        <v>14</v>
      </c>
      <c r="E1170" s="2" t="s">
        <v>24</v>
      </c>
      <c r="F1170" s="4">
        <v>3561.14</v>
      </c>
    </row>
    <row r="1171" spans="1:6" ht="15" thickBot="1" x14ac:dyDescent="0.35">
      <c r="A1171" s="3" t="s">
        <v>55</v>
      </c>
      <c r="B1171" s="2" t="s">
        <v>12</v>
      </c>
      <c r="C1171" s="2" t="s">
        <v>23</v>
      </c>
      <c r="D1171" s="2" t="s">
        <v>9</v>
      </c>
      <c r="E1171" s="2" t="s">
        <v>10</v>
      </c>
      <c r="F1171" s="4">
        <v>135.56644890000001</v>
      </c>
    </row>
    <row r="1172" spans="1:6" ht="15" thickBot="1" x14ac:dyDescent="0.35">
      <c r="A1172" s="3" t="s">
        <v>201</v>
      </c>
      <c r="B1172" s="2" t="s">
        <v>12</v>
      </c>
      <c r="C1172" s="2" t="s">
        <v>8</v>
      </c>
      <c r="D1172" s="2" t="s">
        <v>28</v>
      </c>
      <c r="E1172" s="2" t="s">
        <v>15</v>
      </c>
      <c r="F1172" s="4">
        <v>651.62</v>
      </c>
    </row>
    <row r="1173" spans="1:6" ht="15" thickBot="1" x14ac:dyDescent="0.35">
      <c r="A1173" s="3" t="s">
        <v>189</v>
      </c>
      <c r="B1173" s="2" t="s">
        <v>19</v>
      </c>
      <c r="C1173" s="2" t="s">
        <v>34</v>
      </c>
      <c r="D1173" s="2" t="s">
        <v>9</v>
      </c>
      <c r="E1173" s="2" t="s">
        <v>10</v>
      </c>
      <c r="F1173" s="4">
        <v>243.88</v>
      </c>
    </row>
    <row r="1174" spans="1:6" ht="15" thickBot="1" x14ac:dyDescent="0.35">
      <c r="A1174" s="3" t="s">
        <v>215</v>
      </c>
      <c r="B1174" s="2" t="s">
        <v>17</v>
      </c>
      <c r="C1174" s="2" t="s">
        <v>34</v>
      </c>
      <c r="D1174" s="2" t="s">
        <v>28</v>
      </c>
      <c r="E1174" s="2" t="s">
        <v>24</v>
      </c>
      <c r="F1174" s="4">
        <v>2204.12</v>
      </c>
    </row>
    <row r="1175" spans="1:6" ht="15" thickBot="1" x14ac:dyDescent="0.35">
      <c r="A1175" s="3" t="s">
        <v>77</v>
      </c>
      <c r="B1175" s="2" t="s">
        <v>30</v>
      </c>
      <c r="C1175" s="2" t="s">
        <v>34</v>
      </c>
      <c r="D1175" s="2" t="s">
        <v>9</v>
      </c>
      <c r="E1175" s="2" t="s">
        <v>24</v>
      </c>
      <c r="F1175" s="4">
        <v>4031.3117550000002</v>
      </c>
    </row>
    <row r="1176" spans="1:6" ht="15" thickBot="1" x14ac:dyDescent="0.35">
      <c r="A1176" s="3" t="s">
        <v>37</v>
      </c>
      <c r="B1176" s="2" t="s">
        <v>17</v>
      </c>
      <c r="C1176" s="2" t="s">
        <v>8</v>
      </c>
      <c r="D1176" s="2" t="s">
        <v>14</v>
      </c>
      <c r="E1176" s="2" t="s">
        <v>24</v>
      </c>
      <c r="F1176" s="4">
        <v>1311.25</v>
      </c>
    </row>
    <row r="1177" spans="1:6" ht="15" thickBot="1" x14ac:dyDescent="0.35">
      <c r="A1177" s="3" t="s">
        <v>96</v>
      </c>
      <c r="B1177" s="2" t="s">
        <v>19</v>
      </c>
      <c r="C1177" s="2" t="s">
        <v>8</v>
      </c>
      <c r="D1177" s="2" t="s">
        <v>9</v>
      </c>
      <c r="E1177" s="2" t="s">
        <v>10</v>
      </c>
      <c r="F1177" s="4">
        <v>496.00451520000001</v>
      </c>
    </row>
    <row r="1178" spans="1:6" ht="15" thickBot="1" x14ac:dyDescent="0.35">
      <c r="A1178" s="3" t="s">
        <v>136</v>
      </c>
      <c r="B1178" s="2" t="s">
        <v>17</v>
      </c>
      <c r="C1178" s="2" t="s">
        <v>8</v>
      </c>
      <c r="D1178" s="2" t="s">
        <v>14</v>
      </c>
      <c r="E1178" s="2" t="s">
        <v>10</v>
      </c>
      <c r="F1178" s="4">
        <v>3182.6</v>
      </c>
    </row>
    <row r="1179" spans="1:6" ht="15" thickBot="1" x14ac:dyDescent="0.35">
      <c r="A1179" s="3" t="s">
        <v>182</v>
      </c>
      <c r="B1179" s="2" t="s">
        <v>12</v>
      </c>
      <c r="C1179" s="2" t="s">
        <v>23</v>
      </c>
      <c r="D1179" s="2" t="s">
        <v>14</v>
      </c>
      <c r="E1179" s="2" t="s">
        <v>15</v>
      </c>
      <c r="F1179" s="4">
        <v>1935.31</v>
      </c>
    </row>
    <row r="1180" spans="1:6" ht="15" thickBot="1" x14ac:dyDescent="0.35">
      <c r="A1180" s="3" t="s">
        <v>103</v>
      </c>
      <c r="B1180" s="2" t="s">
        <v>19</v>
      </c>
      <c r="C1180" s="2" t="s">
        <v>34</v>
      </c>
      <c r="D1180" s="2" t="s">
        <v>9</v>
      </c>
      <c r="E1180" s="2" t="s">
        <v>10</v>
      </c>
      <c r="F1180" s="4">
        <v>4354.07557</v>
      </c>
    </row>
    <row r="1181" spans="1:6" ht="15" thickBot="1" x14ac:dyDescent="0.35">
      <c r="A1181" s="3" t="s">
        <v>144</v>
      </c>
      <c r="B1181" s="2" t="s">
        <v>30</v>
      </c>
      <c r="C1181" s="2" t="s">
        <v>13</v>
      </c>
      <c r="D1181" s="2" t="s">
        <v>28</v>
      </c>
      <c r="E1181" s="2" t="s">
        <v>15</v>
      </c>
      <c r="F1181" s="4">
        <v>4545.6899999999996</v>
      </c>
    </row>
    <row r="1182" spans="1:6" ht="15" thickBot="1" x14ac:dyDescent="0.35">
      <c r="A1182" s="3" t="s">
        <v>126</v>
      </c>
      <c r="B1182" s="2" t="s">
        <v>30</v>
      </c>
      <c r="C1182" s="2" t="s">
        <v>13</v>
      </c>
      <c r="D1182" s="2" t="s">
        <v>28</v>
      </c>
      <c r="E1182" s="2" t="s">
        <v>10</v>
      </c>
      <c r="F1182" s="4">
        <v>1019.91</v>
      </c>
    </row>
    <row r="1183" spans="1:6" ht="15" thickBot="1" x14ac:dyDescent="0.35">
      <c r="A1183" s="3" t="s">
        <v>205</v>
      </c>
      <c r="B1183" s="2" t="s">
        <v>17</v>
      </c>
      <c r="C1183" s="2" t="s">
        <v>34</v>
      </c>
      <c r="D1183" s="2" t="s">
        <v>9</v>
      </c>
      <c r="E1183" s="2" t="s">
        <v>24</v>
      </c>
      <c r="F1183" s="4">
        <v>3313.0768830000002</v>
      </c>
    </row>
    <row r="1184" spans="1:6" ht="15" thickBot="1" x14ac:dyDescent="0.35">
      <c r="A1184" s="3" t="s">
        <v>72</v>
      </c>
      <c r="B1184" s="2" t="s">
        <v>19</v>
      </c>
      <c r="C1184" s="2" t="s">
        <v>34</v>
      </c>
      <c r="D1184" s="2" t="s">
        <v>28</v>
      </c>
      <c r="E1184" s="2" t="s">
        <v>24</v>
      </c>
      <c r="F1184" s="4">
        <v>2988.27</v>
      </c>
    </row>
    <row r="1185" spans="1:6" ht="15" thickBot="1" x14ac:dyDescent="0.35">
      <c r="A1185" s="3" t="s">
        <v>146</v>
      </c>
      <c r="B1185" s="2" t="s">
        <v>7</v>
      </c>
      <c r="C1185" s="2" t="s">
        <v>34</v>
      </c>
      <c r="D1185" s="2" t="s">
        <v>9</v>
      </c>
      <c r="E1185" s="2" t="s">
        <v>24</v>
      </c>
      <c r="F1185" s="4">
        <v>4688.4712579999996</v>
      </c>
    </row>
    <row r="1186" spans="1:6" ht="15" thickBot="1" x14ac:dyDescent="0.35">
      <c r="A1186" s="3" t="s">
        <v>76</v>
      </c>
      <c r="B1186" s="2" t="s">
        <v>17</v>
      </c>
      <c r="C1186" s="2" t="s">
        <v>34</v>
      </c>
      <c r="D1186" s="2" t="s">
        <v>9</v>
      </c>
      <c r="E1186" s="2" t="s">
        <v>24</v>
      </c>
      <c r="F1186" s="4">
        <v>4159.3606559999998</v>
      </c>
    </row>
    <row r="1187" spans="1:6" ht="15" thickBot="1" x14ac:dyDescent="0.35">
      <c r="A1187" s="3" t="s">
        <v>146</v>
      </c>
      <c r="B1187" s="2" t="s">
        <v>7</v>
      </c>
      <c r="C1187" s="2" t="s">
        <v>13</v>
      </c>
      <c r="D1187" s="2" t="s">
        <v>14</v>
      </c>
      <c r="E1187" s="2" t="s">
        <v>24</v>
      </c>
      <c r="F1187" s="4">
        <v>3142.22</v>
      </c>
    </row>
    <row r="1188" spans="1:6" ht="15" thickBot="1" x14ac:dyDescent="0.35">
      <c r="A1188" s="3" t="s">
        <v>193</v>
      </c>
      <c r="B1188" s="2" t="s">
        <v>12</v>
      </c>
      <c r="C1188" s="2" t="s">
        <v>34</v>
      </c>
      <c r="D1188" s="2" t="s">
        <v>9</v>
      </c>
      <c r="E1188" s="2" t="s">
        <v>15</v>
      </c>
      <c r="F1188" s="4">
        <v>4654.5582059999997</v>
      </c>
    </row>
    <row r="1189" spans="1:6" ht="15" thickBot="1" x14ac:dyDescent="0.35">
      <c r="A1189" s="3" t="s">
        <v>76</v>
      </c>
      <c r="B1189" s="2" t="s">
        <v>17</v>
      </c>
      <c r="C1189" s="2" t="s">
        <v>13</v>
      </c>
      <c r="D1189" s="2" t="s">
        <v>9</v>
      </c>
      <c r="E1189" s="2" t="s">
        <v>15</v>
      </c>
      <c r="F1189" s="4">
        <v>348.73387589999999</v>
      </c>
    </row>
    <row r="1190" spans="1:6" ht="15" thickBot="1" x14ac:dyDescent="0.35">
      <c r="A1190" s="3" t="s">
        <v>109</v>
      </c>
      <c r="B1190" s="2" t="s">
        <v>12</v>
      </c>
      <c r="C1190" s="2" t="s">
        <v>23</v>
      </c>
      <c r="D1190" s="2" t="s">
        <v>14</v>
      </c>
      <c r="E1190" s="2" t="s">
        <v>15</v>
      </c>
      <c r="F1190" s="4">
        <v>4243.12</v>
      </c>
    </row>
    <row r="1191" spans="1:6" ht="15" thickBot="1" x14ac:dyDescent="0.35">
      <c r="A1191" s="3" t="s">
        <v>52</v>
      </c>
      <c r="B1191" s="2" t="s">
        <v>19</v>
      </c>
      <c r="C1191" s="2" t="s">
        <v>8</v>
      </c>
      <c r="D1191" s="2" t="s">
        <v>14</v>
      </c>
      <c r="E1191" s="2" t="s">
        <v>24</v>
      </c>
      <c r="F1191" s="4">
        <v>4673.26</v>
      </c>
    </row>
    <row r="1192" spans="1:6" ht="15" thickBot="1" x14ac:dyDescent="0.35">
      <c r="A1192" s="3" t="s">
        <v>85</v>
      </c>
      <c r="B1192" s="2" t="s">
        <v>30</v>
      </c>
      <c r="C1192" s="2" t="s">
        <v>8</v>
      </c>
      <c r="D1192" s="2" t="s">
        <v>28</v>
      </c>
      <c r="E1192" s="2" t="s">
        <v>10</v>
      </c>
      <c r="F1192" s="4">
        <v>1127.24</v>
      </c>
    </row>
    <row r="1193" spans="1:6" ht="15" thickBot="1" x14ac:dyDescent="0.35">
      <c r="A1193" s="3" t="s">
        <v>185</v>
      </c>
      <c r="B1193" s="2" t="s">
        <v>30</v>
      </c>
      <c r="C1193" s="2" t="s">
        <v>34</v>
      </c>
      <c r="D1193" s="2" t="s">
        <v>9</v>
      </c>
      <c r="E1193" s="2" t="s">
        <v>24</v>
      </c>
      <c r="F1193" s="4">
        <v>884.52</v>
      </c>
    </row>
    <row r="1194" spans="1:6" ht="15" thickBot="1" x14ac:dyDescent="0.35">
      <c r="A1194" s="3" t="s">
        <v>131</v>
      </c>
      <c r="B1194" s="2" t="s">
        <v>17</v>
      </c>
      <c r="C1194" s="2" t="s">
        <v>34</v>
      </c>
      <c r="D1194" s="2" t="s">
        <v>9</v>
      </c>
      <c r="E1194" s="2" t="s">
        <v>24</v>
      </c>
      <c r="F1194" s="4">
        <v>692.69108289999997</v>
      </c>
    </row>
    <row r="1195" spans="1:6" ht="15" thickBot="1" x14ac:dyDescent="0.35">
      <c r="A1195" s="3" t="s">
        <v>149</v>
      </c>
      <c r="B1195" s="2" t="s">
        <v>17</v>
      </c>
      <c r="C1195" s="2" t="s">
        <v>8</v>
      </c>
      <c r="D1195" s="2" t="s">
        <v>9</v>
      </c>
      <c r="E1195" s="2" t="s">
        <v>15</v>
      </c>
      <c r="F1195" s="4">
        <v>1097.7746549999999</v>
      </c>
    </row>
    <row r="1196" spans="1:6" ht="15" thickBot="1" x14ac:dyDescent="0.35">
      <c r="A1196" s="3" t="s">
        <v>41</v>
      </c>
      <c r="B1196" s="2" t="s">
        <v>30</v>
      </c>
      <c r="C1196" s="2" t="s">
        <v>8</v>
      </c>
      <c r="D1196" s="2" t="s">
        <v>9</v>
      </c>
      <c r="E1196" s="2" t="s">
        <v>15</v>
      </c>
      <c r="F1196" s="4">
        <v>3601.7124260000001</v>
      </c>
    </row>
    <row r="1197" spans="1:6" ht="15" thickBot="1" x14ac:dyDescent="0.35">
      <c r="A1197" s="3" t="s">
        <v>130</v>
      </c>
      <c r="B1197" s="2" t="s">
        <v>12</v>
      </c>
      <c r="C1197" s="2" t="s">
        <v>23</v>
      </c>
      <c r="D1197" s="2" t="s">
        <v>14</v>
      </c>
      <c r="E1197" s="2" t="s">
        <v>15</v>
      </c>
      <c r="F1197" s="4">
        <v>4661.5</v>
      </c>
    </row>
    <row r="1198" spans="1:6" ht="15" thickBot="1" x14ac:dyDescent="0.35">
      <c r="A1198" s="3" t="s">
        <v>25</v>
      </c>
      <c r="B1198" s="2" t="s">
        <v>19</v>
      </c>
      <c r="C1198" s="2" t="s">
        <v>23</v>
      </c>
      <c r="D1198" s="2" t="s">
        <v>14</v>
      </c>
      <c r="E1198" s="2" t="s">
        <v>10</v>
      </c>
      <c r="F1198" s="4">
        <v>4163.95</v>
      </c>
    </row>
    <row r="1199" spans="1:6" ht="15" thickBot="1" x14ac:dyDescent="0.35">
      <c r="A1199" s="3" t="s">
        <v>40</v>
      </c>
      <c r="B1199" s="2" t="s">
        <v>19</v>
      </c>
      <c r="C1199" s="2" t="s">
        <v>23</v>
      </c>
      <c r="D1199" s="2" t="s">
        <v>14</v>
      </c>
      <c r="E1199" s="2" t="s">
        <v>15</v>
      </c>
      <c r="F1199" s="4">
        <v>2018.59</v>
      </c>
    </row>
    <row r="1200" spans="1:6" ht="15" thickBot="1" x14ac:dyDescent="0.35">
      <c r="A1200" s="3" t="s">
        <v>118</v>
      </c>
      <c r="B1200" s="2" t="s">
        <v>30</v>
      </c>
      <c r="C1200" s="2" t="s">
        <v>13</v>
      </c>
      <c r="D1200" s="2" t="s">
        <v>28</v>
      </c>
      <c r="E1200" s="2" t="s">
        <v>10</v>
      </c>
      <c r="F1200" s="4">
        <v>1373.09</v>
      </c>
    </row>
    <row r="1201" spans="1:6" ht="15" thickBot="1" x14ac:dyDescent="0.35">
      <c r="A1201" s="3" t="s">
        <v>65</v>
      </c>
      <c r="B1201" s="2" t="s">
        <v>30</v>
      </c>
      <c r="C1201" s="2" t="s">
        <v>13</v>
      </c>
      <c r="D1201" s="2" t="s">
        <v>14</v>
      </c>
      <c r="E1201" s="2" t="s">
        <v>10</v>
      </c>
      <c r="F1201" s="4">
        <v>1419.59</v>
      </c>
    </row>
    <row r="1202" spans="1:6" ht="15" thickBot="1" x14ac:dyDescent="0.35">
      <c r="A1202" s="3" t="s">
        <v>47</v>
      </c>
      <c r="B1202" s="2" t="s">
        <v>30</v>
      </c>
      <c r="C1202" s="2" t="s">
        <v>34</v>
      </c>
      <c r="D1202" s="2" t="s">
        <v>14</v>
      </c>
      <c r="E1202" s="2" t="s">
        <v>24</v>
      </c>
      <c r="F1202" s="4">
        <v>3946.93</v>
      </c>
    </row>
    <row r="1203" spans="1:6" ht="15" thickBot="1" x14ac:dyDescent="0.35">
      <c r="A1203" s="3" t="s">
        <v>32</v>
      </c>
      <c r="B1203" s="2" t="s">
        <v>7</v>
      </c>
      <c r="C1203" s="2" t="s">
        <v>34</v>
      </c>
      <c r="D1203" s="2" t="s">
        <v>14</v>
      </c>
      <c r="E1203" s="2" t="s">
        <v>24</v>
      </c>
      <c r="F1203" s="4">
        <v>685.73</v>
      </c>
    </row>
    <row r="1204" spans="1:6" ht="15" thickBot="1" x14ac:dyDescent="0.35">
      <c r="A1204" s="3" t="s">
        <v>108</v>
      </c>
      <c r="B1204" s="2" t="s">
        <v>7</v>
      </c>
      <c r="C1204" s="2" t="s">
        <v>8</v>
      </c>
      <c r="D1204" s="2" t="s">
        <v>14</v>
      </c>
      <c r="E1204" s="2" t="s">
        <v>10</v>
      </c>
      <c r="F1204" s="4">
        <v>4879.25</v>
      </c>
    </row>
    <row r="1205" spans="1:6" ht="15" thickBot="1" x14ac:dyDescent="0.35">
      <c r="A1205" s="3" t="s">
        <v>64</v>
      </c>
      <c r="B1205" s="2" t="s">
        <v>30</v>
      </c>
      <c r="C1205" s="2" t="s">
        <v>8</v>
      </c>
      <c r="D1205" s="2" t="s">
        <v>9</v>
      </c>
      <c r="E1205" s="2" t="s">
        <v>10</v>
      </c>
      <c r="F1205" s="4">
        <v>3667.49</v>
      </c>
    </row>
    <row r="1206" spans="1:6" ht="15" thickBot="1" x14ac:dyDescent="0.35">
      <c r="A1206" s="3" t="s">
        <v>150</v>
      </c>
      <c r="B1206" s="2" t="s">
        <v>30</v>
      </c>
      <c r="C1206" s="2" t="s">
        <v>13</v>
      </c>
      <c r="D1206" s="2" t="s">
        <v>28</v>
      </c>
      <c r="E1206" s="2" t="s">
        <v>15</v>
      </c>
      <c r="F1206" s="4">
        <v>1085.32</v>
      </c>
    </row>
    <row r="1207" spans="1:6" ht="15" thickBot="1" x14ac:dyDescent="0.35">
      <c r="A1207" s="3" t="s">
        <v>175</v>
      </c>
      <c r="B1207" s="2" t="s">
        <v>7</v>
      </c>
      <c r="C1207" s="2" t="s">
        <v>23</v>
      </c>
      <c r="D1207" s="2" t="s">
        <v>14</v>
      </c>
      <c r="E1207" s="2" t="s">
        <v>10</v>
      </c>
      <c r="F1207" s="4">
        <v>4510.42</v>
      </c>
    </row>
    <row r="1208" spans="1:6" ht="15" thickBot="1" x14ac:dyDescent="0.35">
      <c r="A1208" s="3" t="s">
        <v>84</v>
      </c>
      <c r="B1208" s="2" t="s">
        <v>30</v>
      </c>
      <c r="C1208" s="2" t="s">
        <v>34</v>
      </c>
      <c r="D1208" s="2" t="s">
        <v>14</v>
      </c>
      <c r="E1208" s="2" t="s">
        <v>24</v>
      </c>
      <c r="F1208" s="4">
        <v>499.33</v>
      </c>
    </row>
    <row r="1209" spans="1:6" ht="15" thickBot="1" x14ac:dyDescent="0.35">
      <c r="A1209" s="3" t="s">
        <v>153</v>
      </c>
      <c r="B1209" s="2" t="s">
        <v>7</v>
      </c>
      <c r="C1209" s="2" t="s">
        <v>8</v>
      </c>
      <c r="D1209" s="2" t="s">
        <v>9</v>
      </c>
      <c r="E1209" s="2" t="s">
        <v>15</v>
      </c>
      <c r="F1209" s="4">
        <v>1951.9222400000001</v>
      </c>
    </row>
    <row r="1210" spans="1:6" ht="15" thickBot="1" x14ac:dyDescent="0.35">
      <c r="A1210" s="3" t="s">
        <v>93</v>
      </c>
      <c r="B1210" s="2" t="s">
        <v>30</v>
      </c>
      <c r="C1210" s="2" t="s">
        <v>23</v>
      </c>
      <c r="D1210" s="2" t="s">
        <v>9</v>
      </c>
      <c r="E1210" s="2" t="s">
        <v>15</v>
      </c>
      <c r="F1210" s="4">
        <v>1473.5947920000001</v>
      </c>
    </row>
    <row r="1211" spans="1:6" ht="15" thickBot="1" x14ac:dyDescent="0.35">
      <c r="A1211" s="3" t="s">
        <v>97</v>
      </c>
      <c r="B1211" s="2" t="s">
        <v>7</v>
      </c>
      <c r="C1211" s="2" t="s">
        <v>13</v>
      </c>
      <c r="D1211" s="2" t="s">
        <v>14</v>
      </c>
      <c r="E1211" s="2" t="s">
        <v>15</v>
      </c>
      <c r="F1211" s="4">
        <v>3545.05</v>
      </c>
    </row>
    <row r="1212" spans="1:6" ht="15" thickBot="1" x14ac:dyDescent="0.35">
      <c r="A1212" s="3" t="s">
        <v>115</v>
      </c>
      <c r="B1212" s="2" t="s">
        <v>19</v>
      </c>
      <c r="C1212" s="2" t="s">
        <v>34</v>
      </c>
      <c r="D1212" s="2" t="s">
        <v>28</v>
      </c>
      <c r="E1212" s="2" t="s">
        <v>24</v>
      </c>
      <c r="F1212" s="4">
        <v>84.78</v>
      </c>
    </row>
    <row r="1213" spans="1:6" ht="15" thickBot="1" x14ac:dyDescent="0.35">
      <c r="A1213" s="3" t="s">
        <v>102</v>
      </c>
      <c r="B1213" s="2" t="s">
        <v>19</v>
      </c>
      <c r="C1213" s="2" t="s">
        <v>23</v>
      </c>
      <c r="D1213" s="2" t="s">
        <v>28</v>
      </c>
      <c r="E1213" s="2" t="s">
        <v>10</v>
      </c>
      <c r="F1213" s="4">
        <v>1941.65</v>
      </c>
    </row>
    <row r="1214" spans="1:6" ht="15" thickBot="1" x14ac:dyDescent="0.35">
      <c r="A1214" s="3" t="s">
        <v>191</v>
      </c>
      <c r="B1214" s="2" t="s">
        <v>12</v>
      </c>
      <c r="C1214" s="2" t="s">
        <v>34</v>
      </c>
      <c r="D1214" s="2" t="s">
        <v>14</v>
      </c>
      <c r="E1214" s="2" t="s">
        <v>10</v>
      </c>
      <c r="F1214" s="4">
        <v>2646.36</v>
      </c>
    </row>
    <row r="1215" spans="1:6" ht="15" thickBot="1" x14ac:dyDescent="0.35">
      <c r="A1215" s="3" t="s">
        <v>101</v>
      </c>
      <c r="B1215" s="2" t="s">
        <v>19</v>
      </c>
      <c r="C1215" s="2" t="s">
        <v>23</v>
      </c>
      <c r="D1215" s="2" t="s">
        <v>9</v>
      </c>
      <c r="E1215" s="2" t="s">
        <v>24</v>
      </c>
      <c r="F1215" s="4">
        <v>1257.0845320000001</v>
      </c>
    </row>
    <row r="1216" spans="1:6" ht="15" thickBot="1" x14ac:dyDescent="0.35">
      <c r="A1216" s="3" t="s">
        <v>49</v>
      </c>
      <c r="B1216" s="2" t="s">
        <v>19</v>
      </c>
      <c r="C1216" s="2" t="s">
        <v>13</v>
      </c>
      <c r="D1216" s="2" t="s">
        <v>14</v>
      </c>
      <c r="E1216" s="2" t="s">
        <v>10</v>
      </c>
      <c r="F1216" s="4">
        <v>4445.1499999999996</v>
      </c>
    </row>
    <row r="1217" spans="1:6" ht="15" thickBot="1" x14ac:dyDescent="0.35">
      <c r="A1217" s="3" t="s">
        <v>84</v>
      </c>
      <c r="B1217" s="2" t="s">
        <v>30</v>
      </c>
      <c r="C1217" s="2" t="s">
        <v>13</v>
      </c>
      <c r="D1217" s="2" t="s">
        <v>28</v>
      </c>
      <c r="E1217" s="2" t="s">
        <v>15</v>
      </c>
      <c r="F1217" s="4">
        <v>3717.99</v>
      </c>
    </row>
    <row r="1218" spans="1:6" ht="15" thickBot="1" x14ac:dyDescent="0.35">
      <c r="A1218" s="3" t="s">
        <v>196</v>
      </c>
      <c r="B1218" s="2" t="s">
        <v>30</v>
      </c>
      <c r="C1218" s="2" t="s">
        <v>23</v>
      </c>
      <c r="D1218" s="2" t="s">
        <v>9</v>
      </c>
      <c r="E1218" s="2" t="s">
        <v>24</v>
      </c>
      <c r="F1218" s="4">
        <v>4588.6389289999997</v>
      </c>
    </row>
    <row r="1219" spans="1:6" ht="15" thickBot="1" x14ac:dyDescent="0.35">
      <c r="A1219" s="3" t="s">
        <v>161</v>
      </c>
      <c r="B1219" s="2" t="s">
        <v>7</v>
      </c>
      <c r="C1219" s="2" t="s">
        <v>8</v>
      </c>
      <c r="D1219" s="2" t="s">
        <v>9</v>
      </c>
      <c r="E1219" s="2" t="s">
        <v>10</v>
      </c>
      <c r="F1219" s="4">
        <v>1806.876945</v>
      </c>
    </row>
    <row r="1220" spans="1:6" ht="15" thickBot="1" x14ac:dyDescent="0.35">
      <c r="A1220" s="3" t="s">
        <v>83</v>
      </c>
      <c r="B1220" s="2" t="s">
        <v>17</v>
      </c>
      <c r="C1220" s="2" t="s">
        <v>8</v>
      </c>
      <c r="D1220" s="2" t="s">
        <v>9</v>
      </c>
      <c r="E1220" s="2" t="s">
        <v>15</v>
      </c>
      <c r="F1220" s="4">
        <v>1893.445913</v>
      </c>
    </row>
    <row r="1221" spans="1:6" ht="15" thickBot="1" x14ac:dyDescent="0.35">
      <c r="A1221" s="3" t="s">
        <v>87</v>
      </c>
      <c r="B1221" s="2" t="s">
        <v>12</v>
      </c>
      <c r="C1221" s="2" t="s">
        <v>23</v>
      </c>
      <c r="D1221" s="2" t="s">
        <v>28</v>
      </c>
      <c r="E1221" s="2" t="s">
        <v>15</v>
      </c>
      <c r="F1221" s="4">
        <v>2906.15</v>
      </c>
    </row>
    <row r="1222" spans="1:6" ht="15" thickBot="1" x14ac:dyDescent="0.35">
      <c r="A1222" s="3" t="s">
        <v>205</v>
      </c>
      <c r="B1222" s="2" t="s">
        <v>17</v>
      </c>
      <c r="C1222" s="2" t="s">
        <v>23</v>
      </c>
      <c r="D1222" s="2" t="s">
        <v>9</v>
      </c>
      <c r="E1222" s="2" t="s">
        <v>10</v>
      </c>
      <c r="F1222" s="4">
        <v>4352.6233110000003</v>
      </c>
    </row>
    <row r="1223" spans="1:6" ht="15" thickBot="1" x14ac:dyDescent="0.35">
      <c r="A1223" s="3" t="s">
        <v>40</v>
      </c>
      <c r="B1223" s="2" t="s">
        <v>19</v>
      </c>
      <c r="C1223" s="2" t="s">
        <v>8</v>
      </c>
      <c r="D1223" s="2" t="s">
        <v>14</v>
      </c>
      <c r="E1223" s="2" t="s">
        <v>10</v>
      </c>
      <c r="F1223" s="4">
        <v>750.01</v>
      </c>
    </row>
    <row r="1224" spans="1:6" ht="15" thickBot="1" x14ac:dyDescent="0.35">
      <c r="A1224" s="3" t="s">
        <v>78</v>
      </c>
      <c r="B1224" s="2" t="s">
        <v>7</v>
      </c>
      <c r="C1224" s="2" t="s">
        <v>13</v>
      </c>
      <c r="D1224" s="2" t="s">
        <v>28</v>
      </c>
      <c r="E1224" s="2" t="s">
        <v>15</v>
      </c>
      <c r="F1224" s="4">
        <v>1435.13</v>
      </c>
    </row>
    <row r="1225" spans="1:6" ht="15" thickBot="1" x14ac:dyDescent="0.35">
      <c r="A1225" s="3" t="s">
        <v>181</v>
      </c>
      <c r="B1225" s="2" t="s">
        <v>30</v>
      </c>
      <c r="C1225" s="2" t="s">
        <v>13</v>
      </c>
      <c r="D1225" s="2" t="s">
        <v>14</v>
      </c>
      <c r="E1225" s="2" t="s">
        <v>24</v>
      </c>
      <c r="F1225" s="4">
        <v>3346.28</v>
      </c>
    </row>
    <row r="1226" spans="1:6" ht="15" thickBot="1" x14ac:dyDescent="0.35">
      <c r="A1226" s="3" t="s">
        <v>74</v>
      </c>
      <c r="B1226" s="2" t="s">
        <v>19</v>
      </c>
      <c r="C1226" s="2" t="s">
        <v>8</v>
      </c>
      <c r="D1226" s="2" t="s">
        <v>9</v>
      </c>
      <c r="E1226" s="2" t="s">
        <v>15</v>
      </c>
      <c r="F1226" s="4">
        <v>3975.6861549999999</v>
      </c>
    </row>
    <row r="1227" spans="1:6" ht="15" thickBot="1" x14ac:dyDescent="0.35">
      <c r="A1227" s="3" t="s">
        <v>88</v>
      </c>
      <c r="B1227" s="2" t="s">
        <v>7</v>
      </c>
      <c r="C1227" s="2" t="s">
        <v>23</v>
      </c>
      <c r="D1227" s="2" t="s">
        <v>14</v>
      </c>
      <c r="E1227" s="2" t="s">
        <v>24</v>
      </c>
      <c r="F1227" s="4">
        <v>3453.13</v>
      </c>
    </row>
    <row r="1228" spans="1:6" ht="15" thickBot="1" x14ac:dyDescent="0.35">
      <c r="A1228" s="3" t="s">
        <v>151</v>
      </c>
      <c r="B1228" s="2" t="s">
        <v>12</v>
      </c>
      <c r="C1228" s="2" t="s">
        <v>34</v>
      </c>
      <c r="D1228" s="2" t="s">
        <v>9</v>
      </c>
      <c r="E1228" s="2" t="s">
        <v>24</v>
      </c>
      <c r="F1228" s="4">
        <v>626.03</v>
      </c>
    </row>
    <row r="1229" spans="1:6" ht="15" thickBot="1" x14ac:dyDescent="0.35">
      <c r="A1229" s="3" t="s">
        <v>123</v>
      </c>
      <c r="B1229" s="2" t="s">
        <v>30</v>
      </c>
      <c r="C1229" s="2" t="s">
        <v>13</v>
      </c>
      <c r="D1229" s="2" t="s">
        <v>14</v>
      </c>
      <c r="E1229" s="2" t="s">
        <v>15</v>
      </c>
      <c r="F1229" s="4">
        <v>3255.93</v>
      </c>
    </row>
    <row r="1230" spans="1:6" ht="15" thickBot="1" x14ac:dyDescent="0.35">
      <c r="A1230" s="3" t="s">
        <v>219</v>
      </c>
      <c r="B1230" s="2" t="s">
        <v>12</v>
      </c>
      <c r="C1230" s="2" t="s">
        <v>8</v>
      </c>
      <c r="D1230" s="2" t="s">
        <v>28</v>
      </c>
      <c r="E1230" s="2" t="s">
        <v>24</v>
      </c>
      <c r="F1230" s="4">
        <v>4437.74</v>
      </c>
    </row>
    <row r="1231" spans="1:6" ht="15" thickBot="1" x14ac:dyDescent="0.35">
      <c r="A1231" s="3" t="s">
        <v>62</v>
      </c>
      <c r="B1231" s="2" t="s">
        <v>30</v>
      </c>
      <c r="C1231" s="2" t="s">
        <v>23</v>
      </c>
      <c r="D1231" s="2" t="s">
        <v>28</v>
      </c>
      <c r="E1231" s="2" t="s">
        <v>10</v>
      </c>
      <c r="F1231" s="4">
        <v>1531</v>
      </c>
    </row>
    <row r="1232" spans="1:6" ht="15" thickBot="1" x14ac:dyDescent="0.35">
      <c r="A1232" s="3" t="s">
        <v>142</v>
      </c>
      <c r="B1232" s="2" t="s">
        <v>17</v>
      </c>
      <c r="C1232" s="2" t="s">
        <v>8</v>
      </c>
      <c r="D1232" s="2" t="s">
        <v>28</v>
      </c>
      <c r="E1232" s="2" t="s">
        <v>24</v>
      </c>
      <c r="F1232" s="4">
        <v>3938.07</v>
      </c>
    </row>
    <row r="1233" spans="1:6" ht="15" thickBot="1" x14ac:dyDescent="0.35">
      <c r="A1233" s="3" t="s">
        <v>141</v>
      </c>
      <c r="B1233" s="2" t="s">
        <v>7</v>
      </c>
      <c r="C1233" s="2" t="s">
        <v>13</v>
      </c>
      <c r="D1233" s="2" t="s">
        <v>14</v>
      </c>
      <c r="E1233" s="2" t="s">
        <v>10</v>
      </c>
      <c r="F1233" s="4">
        <v>1999.93</v>
      </c>
    </row>
    <row r="1234" spans="1:6" ht="15" thickBot="1" x14ac:dyDescent="0.35">
      <c r="A1234" s="3" t="s">
        <v>214</v>
      </c>
      <c r="B1234" s="2" t="s">
        <v>30</v>
      </c>
      <c r="C1234" s="2" t="s">
        <v>13</v>
      </c>
      <c r="D1234" s="2" t="s">
        <v>9</v>
      </c>
      <c r="E1234" s="2" t="s">
        <v>15</v>
      </c>
      <c r="F1234" s="4">
        <v>379.85075039999998</v>
      </c>
    </row>
    <row r="1235" spans="1:6" ht="15" thickBot="1" x14ac:dyDescent="0.35">
      <c r="A1235" s="3" t="s">
        <v>55</v>
      </c>
      <c r="B1235" s="2" t="s">
        <v>12</v>
      </c>
      <c r="C1235" s="2" t="s">
        <v>13</v>
      </c>
      <c r="D1235" s="2" t="s">
        <v>9</v>
      </c>
      <c r="E1235" s="2" t="s">
        <v>24</v>
      </c>
      <c r="F1235" s="4">
        <v>4069.5413589999998</v>
      </c>
    </row>
    <row r="1236" spans="1:6" ht="15" thickBot="1" x14ac:dyDescent="0.35">
      <c r="A1236" s="3" t="s">
        <v>171</v>
      </c>
      <c r="B1236" s="2" t="s">
        <v>17</v>
      </c>
      <c r="C1236" s="2" t="s">
        <v>34</v>
      </c>
      <c r="D1236" s="2" t="s">
        <v>28</v>
      </c>
      <c r="E1236" s="2" t="s">
        <v>15</v>
      </c>
      <c r="F1236" s="4">
        <v>2664.95</v>
      </c>
    </row>
    <row r="1237" spans="1:6" ht="15" thickBot="1" x14ac:dyDescent="0.35">
      <c r="A1237" s="3" t="s">
        <v>160</v>
      </c>
      <c r="B1237" s="2" t="s">
        <v>30</v>
      </c>
      <c r="C1237" s="2" t="s">
        <v>34</v>
      </c>
      <c r="D1237" s="2" t="s">
        <v>9</v>
      </c>
      <c r="E1237" s="2" t="s">
        <v>15</v>
      </c>
      <c r="F1237" s="4">
        <v>1975.28</v>
      </c>
    </row>
    <row r="1238" spans="1:6" ht="15" thickBot="1" x14ac:dyDescent="0.35">
      <c r="A1238" s="3" t="s">
        <v>215</v>
      </c>
      <c r="B1238" s="2" t="s">
        <v>17</v>
      </c>
      <c r="C1238" s="2" t="s">
        <v>8</v>
      </c>
      <c r="D1238" s="2" t="s">
        <v>14</v>
      </c>
      <c r="E1238" s="2" t="s">
        <v>24</v>
      </c>
      <c r="F1238" s="4">
        <v>4697.13</v>
      </c>
    </row>
    <row r="1239" spans="1:6" ht="15" thickBot="1" x14ac:dyDescent="0.35">
      <c r="A1239" s="3" t="s">
        <v>204</v>
      </c>
      <c r="B1239" s="2" t="s">
        <v>30</v>
      </c>
      <c r="C1239" s="2" t="s">
        <v>13</v>
      </c>
      <c r="D1239" s="2" t="s">
        <v>14</v>
      </c>
      <c r="E1239" s="2" t="s">
        <v>15</v>
      </c>
      <c r="F1239" s="4">
        <v>2932.94</v>
      </c>
    </row>
    <row r="1240" spans="1:6" ht="15" thickBot="1" x14ac:dyDescent="0.35">
      <c r="A1240" s="3" t="s">
        <v>190</v>
      </c>
      <c r="B1240" s="2" t="s">
        <v>17</v>
      </c>
      <c r="C1240" s="2" t="s">
        <v>8</v>
      </c>
      <c r="D1240" s="2" t="s">
        <v>28</v>
      </c>
      <c r="E1240" s="2" t="s">
        <v>15</v>
      </c>
      <c r="F1240" s="4">
        <v>1869.13</v>
      </c>
    </row>
    <row r="1241" spans="1:6" ht="15" thickBot="1" x14ac:dyDescent="0.35">
      <c r="A1241" s="3" t="s">
        <v>87</v>
      </c>
      <c r="B1241" s="2" t="s">
        <v>12</v>
      </c>
      <c r="C1241" s="2" t="s">
        <v>8</v>
      </c>
      <c r="D1241" s="2" t="s">
        <v>14</v>
      </c>
      <c r="E1241" s="2" t="s">
        <v>15</v>
      </c>
      <c r="F1241" s="4">
        <v>3433.46</v>
      </c>
    </row>
    <row r="1242" spans="1:6" ht="15" thickBot="1" x14ac:dyDescent="0.35">
      <c r="A1242" s="3" t="s">
        <v>218</v>
      </c>
      <c r="B1242" s="2" t="s">
        <v>17</v>
      </c>
      <c r="C1242" s="2" t="s">
        <v>23</v>
      </c>
      <c r="D1242" s="2" t="s">
        <v>14</v>
      </c>
      <c r="E1242" s="2" t="s">
        <v>10</v>
      </c>
      <c r="F1242" s="4">
        <v>3234.84</v>
      </c>
    </row>
    <row r="1243" spans="1:6" ht="15" thickBot="1" x14ac:dyDescent="0.35">
      <c r="A1243" s="3" t="s">
        <v>31</v>
      </c>
      <c r="B1243" s="2" t="s">
        <v>30</v>
      </c>
      <c r="C1243" s="2" t="s">
        <v>8</v>
      </c>
      <c r="D1243" s="2" t="s">
        <v>14</v>
      </c>
      <c r="E1243" s="2" t="s">
        <v>24</v>
      </c>
      <c r="F1243" s="4">
        <v>2947.36</v>
      </c>
    </row>
    <row r="1244" spans="1:6" ht="15" thickBot="1" x14ac:dyDescent="0.35">
      <c r="A1244" s="3" t="s">
        <v>204</v>
      </c>
      <c r="B1244" s="2" t="s">
        <v>30</v>
      </c>
      <c r="C1244" s="2" t="s">
        <v>34</v>
      </c>
      <c r="D1244" s="2" t="s">
        <v>9</v>
      </c>
      <c r="E1244" s="2" t="s">
        <v>24</v>
      </c>
      <c r="F1244" s="4">
        <v>4189.4613179999997</v>
      </c>
    </row>
    <row r="1245" spans="1:6" ht="15" thickBot="1" x14ac:dyDescent="0.35">
      <c r="A1245" s="3" t="s">
        <v>31</v>
      </c>
      <c r="B1245" s="2" t="s">
        <v>30</v>
      </c>
      <c r="C1245" s="2" t="s">
        <v>8</v>
      </c>
      <c r="D1245" s="2" t="s">
        <v>14</v>
      </c>
      <c r="E1245" s="2" t="s">
        <v>15</v>
      </c>
      <c r="F1245" s="4">
        <v>4346.51</v>
      </c>
    </row>
    <row r="1246" spans="1:6" ht="15" thickBot="1" x14ac:dyDescent="0.35">
      <c r="A1246" s="3" t="s">
        <v>124</v>
      </c>
      <c r="B1246" s="2" t="s">
        <v>12</v>
      </c>
      <c r="C1246" s="2" t="s">
        <v>34</v>
      </c>
      <c r="D1246" s="2" t="s">
        <v>14</v>
      </c>
      <c r="E1246" s="2" t="s">
        <v>15</v>
      </c>
      <c r="F1246" s="4">
        <v>1356.94</v>
      </c>
    </row>
    <row r="1247" spans="1:6" ht="15" thickBot="1" x14ac:dyDescent="0.35">
      <c r="A1247" s="3" t="s">
        <v>197</v>
      </c>
      <c r="B1247" s="2" t="s">
        <v>30</v>
      </c>
      <c r="C1247" s="2" t="s">
        <v>8</v>
      </c>
      <c r="D1247" s="2" t="s">
        <v>28</v>
      </c>
      <c r="E1247" s="2" t="s">
        <v>10</v>
      </c>
      <c r="F1247" s="4">
        <v>50.06</v>
      </c>
    </row>
    <row r="1248" spans="1:6" ht="15" thickBot="1" x14ac:dyDescent="0.35">
      <c r="A1248" s="3" t="s">
        <v>202</v>
      </c>
      <c r="B1248" s="2" t="s">
        <v>12</v>
      </c>
      <c r="C1248" s="2" t="s">
        <v>13</v>
      </c>
      <c r="D1248" s="2" t="s">
        <v>28</v>
      </c>
      <c r="E1248" s="2" t="s">
        <v>15</v>
      </c>
      <c r="F1248" s="4">
        <v>3795.55</v>
      </c>
    </row>
    <row r="1249" spans="1:6" ht="15" thickBot="1" x14ac:dyDescent="0.35">
      <c r="A1249" s="3" t="s">
        <v>60</v>
      </c>
      <c r="B1249" s="2" t="s">
        <v>12</v>
      </c>
      <c r="C1249" s="2" t="s">
        <v>34</v>
      </c>
      <c r="D1249" s="2" t="s">
        <v>9</v>
      </c>
      <c r="E1249" s="2" t="s">
        <v>10</v>
      </c>
      <c r="F1249" s="4">
        <v>4134.2097940000003</v>
      </c>
    </row>
    <row r="1250" spans="1:6" ht="15" thickBot="1" x14ac:dyDescent="0.35">
      <c r="A1250" s="3" t="s">
        <v>214</v>
      </c>
      <c r="B1250" s="2" t="s">
        <v>30</v>
      </c>
      <c r="C1250" s="2" t="s">
        <v>34</v>
      </c>
      <c r="D1250" s="2" t="s">
        <v>9</v>
      </c>
      <c r="E1250" s="2" t="s">
        <v>24</v>
      </c>
      <c r="F1250" s="4">
        <v>2597.355055</v>
      </c>
    </row>
    <row r="1251" spans="1:6" ht="15" thickBot="1" x14ac:dyDescent="0.35">
      <c r="A1251" s="3" t="s">
        <v>219</v>
      </c>
      <c r="B1251" s="2" t="s">
        <v>12</v>
      </c>
      <c r="C1251" s="2" t="s">
        <v>8</v>
      </c>
      <c r="D1251" s="2" t="s">
        <v>14</v>
      </c>
      <c r="E1251" s="2" t="s">
        <v>24</v>
      </c>
      <c r="F1251" s="4">
        <v>2151.91</v>
      </c>
    </row>
    <row r="1252" spans="1:6" ht="15" thickBot="1" x14ac:dyDescent="0.35">
      <c r="A1252" s="3" t="s">
        <v>164</v>
      </c>
      <c r="B1252" s="2" t="s">
        <v>19</v>
      </c>
      <c r="C1252" s="2" t="s">
        <v>34</v>
      </c>
      <c r="D1252" s="2" t="s">
        <v>14</v>
      </c>
      <c r="E1252" s="2" t="s">
        <v>10</v>
      </c>
      <c r="F1252" s="4">
        <v>3338.56</v>
      </c>
    </row>
    <row r="1253" spans="1:6" ht="15" thickBot="1" x14ac:dyDescent="0.35">
      <c r="A1253" s="3" t="s">
        <v>123</v>
      </c>
      <c r="B1253" s="2" t="s">
        <v>30</v>
      </c>
      <c r="C1253" s="2" t="s">
        <v>23</v>
      </c>
      <c r="D1253" s="2" t="s">
        <v>9</v>
      </c>
      <c r="E1253" s="2" t="s">
        <v>15</v>
      </c>
      <c r="F1253" s="4">
        <v>284.86</v>
      </c>
    </row>
    <row r="1254" spans="1:6" ht="15" thickBot="1" x14ac:dyDescent="0.35">
      <c r="A1254" s="3" t="s">
        <v>149</v>
      </c>
      <c r="B1254" s="2" t="s">
        <v>17</v>
      </c>
      <c r="C1254" s="2" t="s">
        <v>34</v>
      </c>
      <c r="D1254" s="2" t="s">
        <v>14</v>
      </c>
      <c r="E1254" s="2" t="s">
        <v>15</v>
      </c>
      <c r="F1254" s="4">
        <v>4418.62</v>
      </c>
    </row>
    <row r="1255" spans="1:6" ht="15" thickBot="1" x14ac:dyDescent="0.35">
      <c r="A1255" s="3" t="s">
        <v>194</v>
      </c>
      <c r="B1255" s="2" t="s">
        <v>17</v>
      </c>
      <c r="C1255" s="2" t="s">
        <v>23</v>
      </c>
      <c r="D1255" s="2" t="s">
        <v>14</v>
      </c>
      <c r="E1255" s="2" t="s">
        <v>24</v>
      </c>
      <c r="F1255" s="4">
        <v>1452.21</v>
      </c>
    </row>
    <row r="1256" spans="1:6" ht="15" thickBot="1" x14ac:dyDescent="0.35">
      <c r="A1256" s="3" t="s">
        <v>35</v>
      </c>
      <c r="B1256" s="2" t="s">
        <v>19</v>
      </c>
      <c r="C1256" s="2" t="s">
        <v>23</v>
      </c>
      <c r="D1256" s="2" t="s">
        <v>28</v>
      </c>
      <c r="E1256" s="2" t="s">
        <v>15</v>
      </c>
      <c r="F1256" s="4">
        <v>1001.43</v>
      </c>
    </row>
    <row r="1257" spans="1:6" ht="15" thickBot="1" x14ac:dyDescent="0.35">
      <c r="A1257" s="3" t="s">
        <v>123</v>
      </c>
      <c r="B1257" s="2" t="s">
        <v>30</v>
      </c>
      <c r="C1257" s="2" t="s">
        <v>8</v>
      </c>
      <c r="D1257" s="2" t="s">
        <v>28</v>
      </c>
      <c r="E1257" s="2" t="s">
        <v>15</v>
      </c>
      <c r="F1257" s="4">
        <v>3280.78</v>
      </c>
    </row>
    <row r="1258" spans="1:6" ht="15" thickBot="1" x14ac:dyDescent="0.35">
      <c r="A1258" s="3" t="s">
        <v>209</v>
      </c>
      <c r="B1258" s="2" t="s">
        <v>7</v>
      </c>
      <c r="C1258" s="2" t="s">
        <v>8</v>
      </c>
      <c r="D1258" s="2" t="s">
        <v>14</v>
      </c>
      <c r="E1258" s="2" t="s">
        <v>24</v>
      </c>
      <c r="F1258" s="4">
        <v>2429.6</v>
      </c>
    </row>
    <row r="1259" spans="1:6" ht="15" thickBot="1" x14ac:dyDescent="0.35">
      <c r="A1259" s="3" t="s">
        <v>103</v>
      </c>
      <c r="B1259" s="2" t="s">
        <v>19</v>
      </c>
      <c r="C1259" s="2" t="s">
        <v>13</v>
      </c>
      <c r="D1259" s="2" t="s">
        <v>9</v>
      </c>
      <c r="E1259" s="2" t="s">
        <v>10</v>
      </c>
      <c r="F1259" s="4">
        <v>4025.991227</v>
      </c>
    </row>
    <row r="1260" spans="1:6" ht="15" thickBot="1" x14ac:dyDescent="0.35">
      <c r="A1260" s="3" t="s">
        <v>209</v>
      </c>
      <c r="B1260" s="2" t="s">
        <v>7</v>
      </c>
      <c r="C1260" s="2" t="s">
        <v>13</v>
      </c>
      <c r="D1260" s="2" t="s">
        <v>14</v>
      </c>
      <c r="E1260" s="2" t="s">
        <v>15</v>
      </c>
      <c r="F1260" s="4">
        <v>1880.25</v>
      </c>
    </row>
    <row r="1261" spans="1:6" ht="15" thickBot="1" x14ac:dyDescent="0.35">
      <c r="A1261" s="3" t="s">
        <v>132</v>
      </c>
      <c r="B1261" s="2" t="s">
        <v>19</v>
      </c>
      <c r="C1261" s="2" t="s">
        <v>23</v>
      </c>
      <c r="D1261" s="2" t="s">
        <v>28</v>
      </c>
      <c r="E1261" s="2" t="s">
        <v>15</v>
      </c>
      <c r="F1261" s="4">
        <v>3107.51</v>
      </c>
    </row>
    <row r="1262" spans="1:6" ht="15" thickBot="1" x14ac:dyDescent="0.35">
      <c r="A1262" s="3" t="s">
        <v>107</v>
      </c>
      <c r="B1262" s="2" t="s">
        <v>30</v>
      </c>
      <c r="C1262" s="2" t="s">
        <v>23</v>
      </c>
      <c r="D1262" s="2" t="s">
        <v>9</v>
      </c>
      <c r="E1262" s="2" t="s">
        <v>15</v>
      </c>
      <c r="F1262" s="4">
        <v>1430.937486</v>
      </c>
    </row>
    <row r="1263" spans="1:6" ht="15" thickBot="1" x14ac:dyDescent="0.35">
      <c r="A1263" s="3" t="s">
        <v>169</v>
      </c>
      <c r="B1263" s="2" t="s">
        <v>12</v>
      </c>
      <c r="C1263" s="2" t="s">
        <v>34</v>
      </c>
      <c r="D1263" s="2" t="s">
        <v>28</v>
      </c>
      <c r="E1263" s="2" t="s">
        <v>15</v>
      </c>
      <c r="F1263" s="4">
        <v>4735.9399999999996</v>
      </c>
    </row>
    <row r="1264" spans="1:6" ht="15" thickBot="1" x14ac:dyDescent="0.35">
      <c r="A1264" s="3" t="s">
        <v>177</v>
      </c>
      <c r="B1264" s="2" t="s">
        <v>7</v>
      </c>
      <c r="C1264" s="2" t="s">
        <v>8</v>
      </c>
      <c r="D1264" s="2" t="s">
        <v>28</v>
      </c>
      <c r="E1264" s="2" t="s">
        <v>15</v>
      </c>
      <c r="F1264" s="4">
        <v>419.21</v>
      </c>
    </row>
    <row r="1265" spans="1:6" ht="15" thickBot="1" x14ac:dyDescent="0.35">
      <c r="A1265" s="3" t="s">
        <v>208</v>
      </c>
      <c r="B1265" s="2" t="s">
        <v>19</v>
      </c>
      <c r="C1265" s="2" t="s">
        <v>34</v>
      </c>
      <c r="D1265" s="2" t="s">
        <v>9</v>
      </c>
      <c r="E1265" s="2" t="s">
        <v>24</v>
      </c>
      <c r="F1265" s="4">
        <v>3952.788094</v>
      </c>
    </row>
    <row r="1266" spans="1:6" ht="15" thickBot="1" x14ac:dyDescent="0.35">
      <c r="A1266" s="3" t="s">
        <v>170</v>
      </c>
      <c r="B1266" s="2" t="s">
        <v>12</v>
      </c>
      <c r="C1266" s="2" t="s">
        <v>8</v>
      </c>
      <c r="D1266" s="2" t="s">
        <v>28</v>
      </c>
      <c r="E1266" s="2" t="s">
        <v>10</v>
      </c>
      <c r="F1266" s="4">
        <v>2905.28</v>
      </c>
    </row>
    <row r="1267" spans="1:6" ht="15" thickBot="1" x14ac:dyDescent="0.35">
      <c r="A1267" s="3" t="s">
        <v>101</v>
      </c>
      <c r="B1267" s="2" t="s">
        <v>19</v>
      </c>
      <c r="C1267" s="2" t="s">
        <v>13</v>
      </c>
      <c r="D1267" s="2" t="s">
        <v>28</v>
      </c>
      <c r="E1267" s="2" t="s">
        <v>24</v>
      </c>
      <c r="F1267" s="4">
        <v>2595.02</v>
      </c>
    </row>
    <row r="1268" spans="1:6" ht="15" thickBot="1" x14ac:dyDescent="0.35">
      <c r="A1268" s="3" t="s">
        <v>93</v>
      </c>
      <c r="B1268" s="2" t="s">
        <v>30</v>
      </c>
      <c r="C1268" s="2" t="s">
        <v>34</v>
      </c>
      <c r="D1268" s="2" t="s">
        <v>9</v>
      </c>
      <c r="E1268" s="2" t="s">
        <v>15</v>
      </c>
      <c r="F1268" s="4">
        <v>4395.4888259999998</v>
      </c>
    </row>
    <row r="1269" spans="1:6" ht="15" thickBot="1" x14ac:dyDescent="0.35">
      <c r="A1269" s="3" t="s">
        <v>91</v>
      </c>
      <c r="B1269" s="2" t="s">
        <v>30</v>
      </c>
      <c r="C1269" s="2" t="s">
        <v>23</v>
      </c>
      <c r="D1269" s="2" t="s">
        <v>14</v>
      </c>
      <c r="E1269" s="2" t="s">
        <v>24</v>
      </c>
      <c r="F1269" s="4">
        <v>969.03</v>
      </c>
    </row>
    <row r="1270" spans="1:6" ht="15" thickBot="1" x14ac:dyDescent="0.35">
      <c r="A1270" s="3" t="s">
        <v>218</v>
      </c>
      <c r="B1270" s="2" t="s">
        <v>17</v>
      </c>
      <c r="C1270" s="2" t="s">
        <v>34</v>
      </c>
      <c r="D1270" s="2" t="s">
        <v>14</v>
      </c>
      <c r="E1270" s="2" t="s">
        <v>15</v>
      </c>
      <c r="F1270" s="4">
        <v>4736.7</v>
      </c>
    </row>
    <row r="1271" spans="1:6" ht="15" thickBot="1" x14ac:dyDescent="0.35">
      <c r="A1271" s="3" t="s">
        <v>67</v>
      </c>
      <c r="B1271" s="2" t="s">
        <v>7</v>
      </c>
      <c r="C1271" s="2" t="s">
        <v>8</v>
      </c>
      <c r="D1271" s="2" t="s">
        <v>9</v>
      </c>
      <c r="E1271" s="2" t="s">
        <v>15</v>
      </c>
      <c r="F1271" s="4">
        <v>3116.27</v>
      </c>
    </row>
    <row r="1272" spans="1:6" ht="15" thickBot="1" x14ac:dyDescent="0.35">
      <c r="A1272" s="3" t="s">
        <v>150</v>
      </c>
      <c r="B1272" s="2" t="s">
        <v>30</v>
      </c>
      <c r="C1272" s="2" t="s">
        <v>34</v>
      </c>
      <c r="D1272" s="2" t="s">
        <v>28</v>
      </c>
      <c r="E1272" s="2" t="s">
        <v>15</v>
      </c>
      <c r="F1272" s="4">
        <v>3048.92</v>
      </c>
    </row>
    <row r="1273" spans="1:6" ht="15" thickBot="1" x14ac:dyDescent="0.35">
      <c r="A1273" s="3" t="s">
        <v>75</v>
      </c>
      <c r="B1273" s="2" t="s">
        <v>19</v>
      </c>
      <c r="C1273" s="2" t="s">
        <v>34</v>
      </c>
      <c r="D1273" s="2" t="s">
        <v>9</v>
      </c>
      <c r="E1273" s="2" t="s">
        <v>15</v>
      </c>
      <c r="F1273" s="4">
        <v>4792.2007899999999</v>
      </c>
    </row>
    <row r="1274" spans="1:6" ht="15" thickBot="1" x14ac:dyDescent="0.35">
      <c r="A1274" s="3" t="s">
        <v>205</v>
      </c>
      <c r="B1274" s="2" t="s">
        <v>17</v>
      </c>
      <c r="C1274" s="2" t="s">
        <v>34</v>
      </c>
      <c r="D1274" s="2" t="s">
        <v>14</v>
      </c>
      <c r="E1274" s="2" t="s">
        <v>15</v>
      </c>
      <c r="F1274" s="4">
        <v>1851.08</v>
      </c>
    </row>
    <row r="1275" spans="1:6" ht="15" thickBot="1" x14ac:dyDescent="0.35">
      <c r="A1275" s="3" t="s">
        <v>79</v>
      </c>
      <c r="B1275" s="2" t="s">
        <v>17</v>
      </c>
      <c r="C1275" s="2" t="s">
        <v>34</v>
      </c>
      <c r="D1275" s="2" t="s">
        <v>14</v>
      </c>
      <c r="E1275" s="2" t="s">
        <v>10</v>
      </c>
      <c r="F1275" s="4">
        <v>331.53</v>
      </c>
    </row>
    <row r="1276" spans="1:6" ht="15" thickBot="1" x14ac:dyDescent="0.35">
      <c r="A1276" s="3" t="s">
        <v>179</v>
      </c>
      <c r="B1276" s="2" t="s">
        <v>7</v>
      </c>
      <c r="C1276" s="2" t="s">
        <v>13</v>
      </c>
      <c r="D1276" s="2" t="s">
        <v>28</v>
      </c>
      <c r="E1276" s="2" t="s">
        <v>24</v>
      </c>
      <c r="F1276" s="4">
        <v>2756.07</v>
      </c>
    </row>
    <row r="1277" spans="1:6" ht="15" thickBot="1" x14ac:dyDescent="0.35">
      <c r="A1277" s="3" t="s">
        <v>138</v>
      </c>
      <c r="B1277" s="2" t="s">
        <v>12</v>
      </c>
      <c r="C1277" s="2" t="s">
        <v>13</v>
      </c>
      <c r="D1277" s="2" t="s">
        <v>9</v>
      </c>
      <c r="E1277" s="2" t="s">
        <v>15</v>
      </c>
      <c r="F1277" s="4">
        <v>1185.144685</v>
      </c>
    </row>
    <row r="1278" spans="1:6" ht="15" thickBot="1" x14ac:dyDescent="0.35">
      <c r="A1278" s="3" t="s">
        <v>31</v>
      </c>
      <c r="B1278" s="2" t="s">
        <v>30</v>
      </c>
      <c r="C1278" s="2" t="s">
        <v>13</v>
      </c>
      <c r="D1278" s="2" t="s">
        <v>14</v>
      </c>
      <c r="E1278" s="2" t="s">
        <v>15</v>
      </c>
      <c r="F1278" s="4">
        <v>770.82</v>
      </c>
    </row>
    <row r="1279" spans="1:6" ht="15" thickBot="1" x14ac:dyDescent="0.35">
      <c r="A1279" s="3" t="s">
        <v>69</v>
      </c>
      <c r="B1279" s="2" t="s">
        <v>7</v>
      </c>
      <c r="C1279" s="2" t="s">
        <v>8</v>
      </c>
      <c r="D1279" s="2" t="s">
        <v>14</v>
      </c>
      <c r="E1279" s="2" t="s">
        <v>24</v>
      </c>
      <c r="F1279" s="4">
        <v>1735.38</v>
      </c>
    </row>
    <row r="1280" spans="1:6" ht="15" thickBot="1" x14ac:dyDescent="0.35">
      <c r="A1280" s="3" t="s">
        <v>211</v>
      </c>
      <c r="B1280" s="2" t="s">
        <v>7</v>
      </c>
      <c r="C1280" s="2" t="s">
        <v>8</v>
      </c>
      <c r="D1280" s="2" t="s">
        <v>9</v>
      </c>
      <c r="E1280" s="2" t="s">
        <v>15</v>
      </c>
      <c r="F1280" s="4">
        <v>2191.312218</v>
      </c>
    </row>
    <row r="1281" spans="1:6" ht="15" thickBot="1" x14ac:dyDescent="0.35">
      <c r="A1281" s="3" t="s">
        <v>212</v>
      </c>
      <c r="B1281" s="2" t="s">
        <v>7</v>
      </c>
      <c r="C1281" s="2" t="s">
        <v>13</v>
      </c>
      <c r="D1281" s="2" t="s">
        <v>28</v>
      </c>
      <c r="E1281" s="2" t="s">
        <v>15</v>
      </c>
      <c r="F1281" s="4">
        <v>759.32</v>
      </c>
    </row>
    <row r="1282" spans="1:6" ht="15" thickBot="1" x14ac:dyDescent="0.35">
      <c r="A1282" s="3" t="s">
        <v>207</v>
      </c>
      <c r="B1282" s="2" t="s">
        <v>17</v>
      </c>
      <c r="C1282" s="2" t="s">
        <v>23</v>
      </c>
      <c r="D1282" s="2" t="s">
        <v>14</v>
      </c>
      <c r="E1282" s="2" t="s">
        <v>15</v>
      </c>
      <c r="F1282" s="4">
        <v>1954.05</v>
      </c>
    </row>
    <row r="1283" spans="1:6" ht="15" thickBot="1" x14ac:dyDescent="0.35">
      <c r="A1283" s="3" t="s">
        <v>144</v>
      </c>
      <c r="B1283" s="2" t="s">
        <v>30</v>
      </c>
      <c r="C1283" s="2" t="s">
        <v>34</v>
      </c>
      <c r="D1283" s="2" t="s">
        <v>9</v>
      </c>
      <c r="E1283" s="2" t="s">
        <v>15</v>
      </c>
      <c r="F1283" s="4">
        <v>4153</v>
      </c>
    </row>
    <row r="1284" spans="1:6" ht="15" thickBot="1" x14ac:dyDescent="0.35">
      <c r="A1284" s="3" t="s">
        <v>71</v>
      </c>
      <c r="B1284" s="2" t="s">
        <v>7</v>
      </c>
      <c r="C1284" s="2" t="s">
        <v>23</v>
      </c>
      <c r="D1284" s="2" t="s">
        <v>9</v>
      </c>
      <c r="E1284" s="2" t="s">
        <v>15</v>
      </c>
      <c r="F1284" s="4">
        <v>3571.7574920000002</v>
      </c>
    </row>
    <row r="1285" spans="1:6" ht="15" thickBot="1" x14ac:dyDescent="0.35">
      <c r="A1285" s="3" t="s">
        <v>193</v>
      </c>
      <c r="B1285" s="2" t="s">
        <v>12</v>
      </c>
      <c r="C1285" s="2" t="s">
        <v>8</v>
      </c>
      <c r="D1285" s="2" t="s">
        <v>28</v>
      </c>
      <c r="E1285" s="2" t="s">
        <v>24</v>
      </c>
      <c r="F1285" s="4">
        <v>3705.85</v>
      </c>
    </row>
    <row r="1286" spans="1:6" ht="15" thickBot="1" x14ac:dyDescent="0.35">
      <c r="A1286" s="3" t="s">
        <v>158</v>
      </c>
      <c r="B1286" s="2" t="s">
        <v>30</v>
      </c>
      <c r="C1286" s="2" t="s">
        <v>13</v>
      </c>
      <c r="D1286" s="2" t="s">
        <v>14</v>
      </c>
      <c r="E1286" s="2" t="s">
        <v>15</v>
      </c>
      <c r="F1286" s="4">
        <v>4393.54</v>
      </c>
    </row>
    <row r="1287" spans="1:6" ht="15" thickBot="1" x14ac:dyDescent="0.35">
      <c r="A1287" s="3" t="s">
        <v>121</v>
      </c>
      <c r="B1287" s="2" t="s">
        <v>30</v>
      </c>
      <c r="C1287" s="2" t="s">
        <v>8</v>
      </c>
      <c r="D1287" s="2" t="s">
        <v>9</v>
      </c>
      <c r="E1287" s="2" t="s">
        <v>24</v>
      </c>
      <c r="F1287" s="4">
        <v>1303.2390740000001</v>
      </c>
    </row>
    <row r="1288" spans="1:6" ht="15" thickBot="1" x14ac:dyDescent="0.35">
      <c r="A1288" s="3" t="s">
        <v>42</v>
      </c>
      <c r="B1288" s="2" t="s">
        <v>30</v>
      </c>
      <c r="C1288" s="2" t="s">
        <v>8</v>
      </c>
      <c r="D1288" s="2" t="s">
        <v>28</v>
      </c>
      <c r="E1288" s="2" t="s">
        <v>15</v>
      </c>
      <c r="F1288" s="4">
        <v>1709.14</v>
      </c>
    </row>
    <row r="1289" spans="1:6" ht="15" thickBot="1" x14ac:dyDescent="0.35">
      <c r="A1289" s="3" t="s">
        <v>144</v>
      </c>
      <c r="B1289" s="2" t="s">
        <v>30</v>
      </c>
      <c r="C1289" s="2" t="s">
        <v>34</v>
      </c>
      <c r="D1289" s="2" t="s">
        <v>9</v>
      </c>
      <c r="E1289" s="2" t="s">
        <v>15</v>
      </c>
      <c r="F1289" s="4">
        <v>4816.54</v>
      </c>
    </row>
    <row r="1290" spans="1:6" ht="15" thickBot="1" x14ac:dyDescent="0.35">
      <c r="A1290" s="3" t="s">
        <v>157</v>
      </c>
      <c r="B1290" s="2" t="s">
        <v>30</v>
      </c>
      <c r="C1290" s="2" t="s">
        <v>23</v>
      </c>
      <c r="D1290" s="2" t="s">
        <v>9</v>
      </c>
      <c r="E1290" s="2" t="s">
        <v>24</v>
      </c>
      <c r="F1290" s="4">
        <v>4237.9135159999996</v>
      </c>
    </row>
    <row r="1291" spans="1:6" ht="15" thickBot="1" x14ac:dyDescent="0.35">
      <c r="A1291" s="3" t="s">
        <v>215</v>
      </c>
      <c r="B1291" s="2" t="s">
        <v>17</v>
      </c>
      <c r="C1291" s="2" t="s">
        <v>34</v>
      </c>
      <c r="D1291" s="2" t="s">
        <v>14</v>
      </c>
      <c r="E1291" s="2" t="s">
        <v>24</v>
      </c>
      <c r="F1291" s="4">
        <v>2911.32</v>
      </c>
    </row>
    <row r="1292" spans="1:6" ht="15" thickBot="1" x14ac:dyDescent="0.35">
      <c r="A1292" s="3" t="s">
        <v>43</v>
      </c>
      <c r="B1292" s="2" t="s">
        <v>17</v>
      </c>
      <c r="C1292" s="2" t="s">
        <v>13</v>
      </c>
      <c r="D1292" s="2" t="s">
        <v>14</v>
      </c>
      <c r="E1292" s="2" t="s">
        <v>10</v>
      </c>
      <c r="F1292" s="4">
        <v>1512.18</v>
      </c>
    </row>
    <row r="1293" spans="1:6" ht="15" thickBot="1" x14ac:dyDescent="0.35">
      <c r="A1293" s="3" t="s">
        <v>21</v>
      </c>
      <c r="B1293" s="2" t="s">
        <v>19</v>
      </c>
      <c r="C1293" s="2" t="s">
        <v>34</v>
      </c>
      <c r="D1293" s="2" t="s">
        <v>28</v>
      </c>
      <c r="E1293" s="2" t="s">
        <v>15</v>
      </c>
      <c r="F1293" s="4">
        <v>2308.83</v>
      </c>
    </row>
    <row r="1294" spans="1:6" ht="15" thickBot="1" x14ac:dyDescent="0.35">
      <c r="A1294" s="3" t="s">
        <v>144</v>
      </c>
      <c r="B1294" s="2" t="s">
        <v>30</v>
      </c>
      <c r="C1294" s="2" t="s">
        <v>8</v>
      </c>
      <c r="D1294" s="2" t="s">
        <v>28</v>
      </c>
      <c r="E1294" s="2" t="s">
        <v>15</v>
      </c>
      <c r="F1294" s="4">
        <v>4743.8500000000004</v>
      </c>
    </row>
    <row r="1295" spans="1:6" ht="15" thickBot="1" x14ac:dyDescent="0.35">
      <c r="A1295" s="3" t="s">
        <v>123</v>
      </c>
      <c r="B1295" s="2" t="s">
        <v>30</v>
      </c>
      <c r="C1295" s="2" t="s">
        <v>23</v>
      </c>
      <c r="D1295" s="2" t="s">
        <v>9</v>
      </c>
      <c r="E1295" s="2" t="s">
        <v>24</v>
      </c>
      <c r="F1295" s="4">
        <v>3863.8</v>
      </c>
    </row>
    <row r="1296" spans="1:6" ht="15" thickBot="1" x14ac:dyDescent="0.35">
      <c r="A1296" s="3" t="s">
        <v>151</v>
      </c>
      <c r="B1296" s="2" t="s">
        <v>12</v>
      </c>
      <c r="C1296" s="2" t="s">
        <v>34</v>
      </c>
      <c r="D1296" s="2" t="s">
        <v>14</v>
      </c>
      <c r="E1296" s="2" t="s">
        <v>10</v>
      </c>
      <c r="F1296" s="4">
        <v>1928.39</v>
      </c>
    </row>
    <row r="1297" spans="1:6" ht="15" thickBot="1" x14ac:dyDescent="0.35">
      <c r="A1297" s="3" t="s">
        <v>116</v>
      </c>
      <c r="B1297" s="2" t="s">
        <v>17</v>
      </c>
      <c r="C1297" s="2" t="s">
        <v>23</v>
      </c>
      <c r="D1297" s="2" t="s">
        <v>28</v>
      </c>
      <c r="E1297" s="2" t="s">
        <v>24</v>
      </c>
      <c r="F1297" s="4">
        <v>2001.66</v>
      </c>
    </row>
    <row r="1298" spans="1:6" ht="15" thickBot="1" x14ac:dyDescent="0.35">
      <c r="A1298" s="3" t="s">
        <v>167</v>
      </c>
      <c r="B1298" s="2" t="s">
        <v>30</v>
      </c>
      <c r="C1298" s="2" t="s">
        <v>23</v>
      </c>
      <c r="D1298" s="2" t="s">
        <v>14</v>
      </c>
      <c r="E1298" s="2" t="s">
        <v>10</v>
      </c>
      <c r="F1298" s="4">
        <v>1031.08</v>
      </c>
    </row>
    <row r="1299" spans="1:6" ht="15" thickBot="1" x14ac:dyDescent="0.35">
      <c r="A1299" s="3" t="s">
        <v>182</v>
      </c>
      <c r="B1299" s="2" t="s">
        <v>12</v>
      </c>
      <c r="C1299" s="2" t="s">
        <v>34</v>
      </c>
      <c r="D1299" s="2" t="s">
        <v>14</v>
      </c>
      <c r="E1299" s="2" t="s">
        <v>10</v>
      </c>
      <c r="F1299" s="4">
        <v>4637.72</v>
      </c>
    </row>
    <row r="1300" spans="1:6" ht="15" thickBot="1" x14ac:dyDescent="0.35">
      <c r="A1300" s="3" t="s">
        <v>25</v>
      </c>
      <c r="B1300" s="2" t="s">
        <v>19</v>
      </c>
      <c r="C1300" s="2" t="s">
        <v>34</v>
      </c>
      <c r="D1300" s="2" t="s">
        <v>14</v>
      </c>
      <c r="E1300" s="2" t="s">
        <v>15</v>
      </c>
      <c r="F1300" s="4">
        <v>2119.1</v>
      </c>
    </row>
    <row r="1301" spans="1:6" ht="15" thickBot="1" x14ac:dyDescent="0.35">
      <c r="A1301" s="3" t="s">
        <v>172</v>
      </c>
      <c r="B1301" s="2" t="s">
        <v>7</v>
      </c>
      <c r="C1301" s="2" t="s">
        <v>8</v>
      </c>
      <c r="D1301" s="2" t="s">
        <v>9</v>
      </c>
      <c r="E1301" s="2" t="s">
        <v>10</v>
      </c>
      <c r="F1301" s="4">
        <v>672.58975539999994</v>
      </c>
    </row>
    <row r="1302" spans="1:6" ht="15" thickBot="1" x14ac:dyDescent="0.35">
      <c r="A1302" s="3" t="s">
        <v>120</v>
      </c>
      <c r="B1302" s="2" t="s">
        <v>30</v>
      </c>
      <c r="C1302" s="2" t="s">
        <v>8</v>
      </c>
      <c r="D1302" s="2" t="s">
        <v>9</v>
      </c>
      <c r="E1302" s="2" t="s">
        <v>15</v>
      </c>
      <c r="F1302" s="4">
        <v>1187.166129</v>
      </c>
    </row>
    <row r="1303" spans="1:6" ht="15" thickBot="1" x14ac:dyDescent="0.35">
      <c r="A1303" s="3" t="s">
        <v>80</v>
      </c>
      <c r="B1303" s="2" t="s">
        <v>17</v>
      </c>
      <c r="C1303" s="2" t="s">
        <v>13</v>
      </c>
      <c r="D1303" s="2" t="s">
        <v>14</v>
      </c>
      <c r="E1303" s="2" t="s">
        <v>15</v>
      </c>
      <c r="F1303" s="4">
        <v>3253.86</v>
      </c>
    </row>
    <row r="1304" spans="1:6" ht="15" thickBot="1" x14ac:dyDescent="0.35">
      <c r="A1304" s="3" t="s">
        <v>26</v>
      </c>
      <c r="B1304" s="2" t="s">
        <v>17</v>
      </c>
      <c r="C1304" s="2" t="s">
        <v>23</v>
      </c>
      <c r="D1304" s="2" t="s">
        <v>14</v>
      </c>
      <c r="E1304" s="2" t="s">
        <v>10</v>
      </c>
      <c r="F1304" s="4">
        <v>276.16000000000003</v>
      </c>
    </row>
    <row r="1305" spans="1:6" ht="15" thickBot="1" x14ac:dyDescent="0.35">
      <c r="A1305" s="3" t="s">
        <v>51</v>
      </c>
      <c r="B1305" s="2" t="s">
        <v>30</v>
      </c>
      <c r="C1305" s="2" t="s">
        <v>34</v>
      </c>
      <c r="D1305" s="2" t="s">
        <v>9</v>
      </c>
      <c r="E1305" s="2" t="s">
        <v>15</v>
      </c>
      <c r="F1305" s="4">
        <v>1988.313803</v>
      </c>
    </row>
    <row r="1306" spans="1:6" ht="15" thickBot="1" x14ac:dyDescent="0.35">
      <c r="A1306" s="3" t="s">
        <v>67</v>
      </c>
      <c r="B1306" s="2" t="s">
        <v>7</v>
      </c>
      <c r="C1306" s="2" t="s">
        <v>13</v>
      </c>
      <c r="D1306" s="2" t="s">
        <v>28</v>
      </c>
      <c r="E1306" s="2" t="s">
        <v>10</v>
      </c>
      <c r="F1306" s="4">
        <v>1459.49</v>
      </c>
    </row>
    <row r="1307" spans="1:6" ht="15" thickBot="1" x14ac:dyDescent="0.35">
      <c r="A1307" s="3" t="s">
        <v>113</v>
      </c>
      <c r="B1307" s="2" t="s">
        <v>30</v>
      </c>
      <c r="C1307" s="2" t="s">
        <v>13</v>
      </c>
      <c r="D1307" s="2" t="s">
        <v>14</v>
      </c>
      <c r="E1307" s="2" t="s">
        <v>15</v>
      </c>
      <c r="F1307" s="4">
        <v>4054.68</v>
      </c>
    </row>
    <row r="1308" spans="1:6" ht="15" thickBot="1" x14ac:dyDescent="0.35">
      <c r="A1308" s="3" t="s">
        <v>47</v>
      </c>
      <c r="B1308" s="2" t="s">
        <v>30</v>
      </c>
      <c r="C1308" s="2" t="s">
        <v>13</v>
      </c>
      <c r="D1308" s="2" t="s">
        <v>14</v>
      </c>
      <c r="E1308" s="2" t="s">
        <v>24</v>
      </c>
      <c r="F1308" s="4">
        <v>270.88</v>
      </c>
    </row>
    <row r="1309" spans="1:6" ht="15" thickBot="1" x14ac:dyDescent="0.35">
      <c r="A1309" s="3" t="s">
        <v>33</v>
      </c>
      <c r="B1309" s="2" t="s">
        <v>19</v>
      </c>
      <c r="C1309" s="2" t="s">
        <v>8</v>
      </c>
      <c r="D1309" s="2" t="s">
        <v>14</v>
      </c>
      <c r="E1309" s="2" t="s">
        <v>10</v>
      </c>
      <c r="F1309" s="4">
        <v>1234.77</v>
      </c>
    </row>
    <row r="1310" spans="1:6" ht="15" thickBot="1" x14ac:dyDescent="0.35">
      <c r="A1310" s="3" t="s">
        <v>6</v>
      </c>
      <c r="B1310" s="2" t="s">
        <v>7</v>
      </c>
      <c r="C1310" s="2" t="s">
        <v>23</v>
      </c>
      <c r="D1310" s="2" t="s">
        <v>14</v>
      </c>
      <c r="E1310" s="2" t="s">
        <v>15</v>
      </c>
      <c r="F1310" s="4">
        <v>4028.89</v>
      </c>
    </row>
    <row r="1311" spans="1:6" ht="15" thickBot="1" x14ac:dyDescent="0.35">
      <c r="A1311" s="3" t="s">
        <v>101</v>
      </c>
      <c r="B1311" s="2" t="s">
        <v>19</v>
      </c>
      <c r="C1311" s="2" t="s">
        <v>23</v>
      </c>
      <c r="D1311" s="2" t="s">
        <v>9</v>
      </c>
      <c r="E1311" s="2" t="s">
        <v>15</v>
      </c>
      <c r="F1311" s="4">
        <v>4303.8535140000004</v>
      </c>
    </row>
    <row r="1312" spans="1:6" ht="15" thickBot="1" x14ac:dyDescent="0.35">
      <c r="A1312" s="3" t="s">
        <v>173</v>
      </c>
      <c r="B1312" s="2" t="s">
        <v>30</v>
      </c>
      <c r="C1312" s="2" t="s">
        <v>34</v>
      </c>
      <c r="D1312" s="2" t="s">
        <v>14</v>
      </c>
      <c r="E1312" s="2" t="s">
        <v>24</v>
      </c>
      <c r="F1312" s="4">
        <v>2941.43</v>
      </c>
    </row>
    <row r="1313" spans="1:6" ht="15" thickBot="1" x14ac:dyDescent="0.35">
      <c r="A1313" s="3" t="s">
        <v>192</v>
      </c>
      <c r="B1313" s="2" t="s">
        <v>19</v>
      </c>
      <c r="C1313" s="2" t="s">
        <v>8</v>
      </c>
      <c r="D1313" s="2" t="s">
        <v>14</v>
      </c>
      <c r="E1313" s="2" t="s">
        <v>24</v>
      </c>
      <c r="F1313" s="4">
        <v>125.18</v>
      </c>
    </row>
    <row r="1314" spans="1:6" ht="15" thickBot="1" x14ac:dyDescent="0.35">
      <c r="A1314" s="3" t="s">
        <v>150</v>
      </c>
      <c r="B1314" s="2" t="s">
        <v>30</v>
      </c>
      <c r="C1314" s="2" t="s">
        <v>34</v>
      </c>
      <c r="D1314" s="2" t="s">
        <v>14</v>
      </c>
      <c r="E1314" s="2" t="s">
        <v>15</v>
      </c>
      <c r="F1314" s="4">
        <v>2302.58</v>
      </c>
    </row>
    <row r="1315" spans="1:6" ht="15" thickBot="1" x14ac:dyDescent="0.35">
      <c r="A1315" s="3" t="s">
        <v>177</v>
      </c>
      <c r="B1315" s="2" t="s">
        <v>7</v>
      </c>
      <c r="C1315" s="2" t="s">
        <v>23</v>
      </c>
      <c r="D1315" s="2" t="s">
        <v>14</v>
      </c>
      <c r="E1315" s="2" t="s">
        <v>10</v>
      </c>
      <c r="F1315" s="4">
        <v>365.22</v>
      </c>
    </row>
    <row r="1316" spans="1:6" ht="15" thickBot="1" x14ac:dyDescent="0.35">
      <c r="A1316" s="3" t="s">
        <v>131</v>
      </c>
      <c r="B1316" s="2" t="s">
        <v>17</v>
      </c>
      <c r="C1316" s="2" t="s">
        <v>34</v>
      </c>
      <c r="D1316" s="2" t="s">
        <v>28</v>
      </c>
      <c r="E1316" s="2" t="s">
        <v>24</v>
      </c>
      <c r="F1316" s="4">
        <v>93.15</v>
      </c>
    </row>
    <row r="1317" spans="1:6" ht="15" thickBot="1" x14ac:dyDescent="0.35">
      <c r="A1317" s="3" t="s">
        <v>170</v>
      </c>
      <c r="B1317" s="2" t="s">
        <v>12</v>
      </c>
      <c r="C1317" s="2" t="s">
        <v>13</v>
      </c>
      <c r="D1317" s="2" t="s">
        <v>28</v>
      </c>
      <c r="E1317" s="2" t="s">
        <v>15</v>
      </c>
      <c r="F1317" s="4">
        <v>807.86</v>
      </c>
    </row>
    <row r="1318" spans="1:6" ht="15" thickBot="1" x14ac:dyDescent="0.35">
      <c r="A1318" s="3" t="s">
        <v>203</v>
      </c>
      <c r="B1318" s="2" t="s">
        <v>12</v>
      </c>
      <c r="C1318" s="2" t="s">
        <v>8</v>
      </c>
      <c r="D1318" s="2" t="s">
        <v>28</v>
      </c>
      <c r="E1318" s="2" t="s">
        <v>24</v>
      </c>
      <c r="F1318" s="4">
        <v>3779.13</v>
      </c>
    </row>
    <row r="1319" spans="1:6" ht="15" thickBot="1" x14ac:dyDescent="0.35">
      <c r="A1319" s="3" t="s">
        <v>206</v>
      </c>
      <c r="B1319" s="2" t="s">
        <v>19</v>
      </c>
      <c r="C1319" s="2" t="s">
        <v>13</v>
      </c>
      <c r="D1319" s="2" t="s">
        <v>9</v>
      </c>
      <c r="E1319" s="2" t="s">
        <v>10</v>
      </c>
      <c r="F1319" s="4">
        <v>4998.3865500000002</v>
      </c>
    </row>
    <row r="1320" spans="1:6" ht="15" thickBot="1" x14ac:dyDescent="0.35">
      <c r="A1320" s="3" t="s">
        <v>16</v>
      </c>
      <c r="B1320" s="2" t="s">
        <v>17</v>
      </c>
      <c r="C1320" s="2" t="s">
        <v>34</v>
      </c>
      <c r="D1320" s="2" t="s">
        <v>14</v>
      </c>
      <c r="E1320" s="2" t="s">
        <v>24</v>
      </c>
      <c r="F1320" s="4">
        <v>2268.11</v>
      </c>
    </row>
    <row r="1321" spans="1:6" ht="15" thickBot="1" x14ac:dyDescent="0.35">
      <c r="A1321" s="3" t="s">
        <v>189</v>
      </c>
      <c r="B1321" s="2" t="s">
        <v>19</v>
      </c>
      <c r="C1321" s="2" t="s">
        <v>8</v>
      </c>
      <c r="D1321" s="2" t="s">
        <v>14</v>
      </c>
      <c r="E1321" s="2" t="s">
        <v>24</v>
      </c>
      <c r="F1321" s="4">
        <v>1247.71</v>
      </c>
    </row>
    <row r="1322" spans="1:6" ht="15" thickBot="1" x14ac:dyDescent="0.35">
      <c r="A1322" s="3" t="s">
        <v>138</v>
      </c>
      <c r="B1322" s="2" t="s">
        <v>12</v>
      </c>
      <c r="C1322" s="2" t="s">
        <v>34</v>
      </c>
      <c r="D1322" s="2" t="s">
        <v>28</v>
      </c>
      <c r="E1322" s="2" t="s">
        <v>24</v>
      </c>
      <c r="F1322" s="4">
        <v>2941.25</v>
      </c>
    </row>
    <row r="1323" spans="1:6" ht="15" thickBot="1" x14ac:dyDescent="0.35">
      <c r="A1323" s="3" t="s">
        <v>63</v>
      </c>
      <c r="B1323" s="2" t="s">
        <v>12</v>
      </c>
      <c r="C1323" s="2" t="s">
        <v>13</v>
      </c>
      <c r="D1323" s="2" t="s">
        <v>28</v>
      </c>
      <c r="E1323" s="2" t="s">
        <v>24</v>
      </c>
      <c r="F1323" s="4">
        <v>1210.07</v>
      </c>
    </row>
    <row r="1324" spans="1:6" ht="15" thickBot="1" x14ac:dyDescent="0.35">
      <c r="A1324" s="3" t="s">
        <v>25</v>
      </c>
      <c r="B1324" s="2" t="s">
        <v>19</v>
      </c>
      <c r="C1324" s="2" t="s">
        <v>34</v>
      </c>
      <c r="D1324" s="2" t="s">
        <v>28</v>
      </c>
      <c r="E1324" s="2" t="s">
        <v>15</v>
      </c>
      <c r="F1324" s="4">
        <v>4451</v>
      </c>
    </row>
    <row r="1325" spans="1:6" ht="15" thickBot="1" x14ac:dyDescent="0.35">
      <c r="A1325" s="3" t="s">
        <v>20</v>
      </c>
      <c r="B1325" s="2" t="s">
        <v>17</v>
      </c>
      <c r="C1325" s="2" t="s">
        <v>23</v>
      </c>
      <c r="D1325" s="2" t="s">
        <v>28</v>
      </c>
      <c r="E1325" s="2" t="s">
        <v>24</v>
      </c>
      <c r="F1325" s="4">
        <v>867.35</v>
      </c>
    </row>
    <row r="1326" spans="1:6" ht="15" thickBot="1" x14ac:dyDescent="0.35">
      <c r="A1326" s="3" t="s">
        <v>85</v>
      </c>
      <c r="B1326" s="2" t="s">
        <v>30</v>
      </c>
      <c r="C1326" s="2" t="s">
        <v>23</v>
      </c>
      <c r="D1326" s="2" t="s">
        <v>14</v>
      </c>
      <c r="E1326" s="2" t="s">
        <v>10</v>
      </c>
      <c r="F1326" s="4">
        <v>3856.1</v>
      </c>
    </row>
    <row r="1327" spans="1:6" ht="15" thickBot="1" x14ac:dyDescent="0.35">
      <c r="A1327" s="3" t="s">
        <v>29</v>
      </c>
      <c r="B1327" s="2" t="s">
        <v>30</v>
      </c>
      <c r="C1327" s="2" t="s">
        <v>34</v>
      </c>
      <c r="D1327" s="2" t="s">
        <v>28</v>
      </c>
      <c r="E1327" s="2" t="s">
        <v>10</v>
      </c>
      <c r="F1327" s="4">
        <v>1963.47</v>
      </c>
    </row>
    <row r="1328" spans="1:6" ht="15" thickBot="1" x14ac:dyDescent="0.35">
      <c r="A1328" s="3" t="s">
        <v>18</v>
      </c>
      <c r="B1328" s="2" t="s">
        <v>19</v>
      </c>
      <c r="C1328" s="2" t="s">
        <v>13</v>
      </c>
      <c r="D1328" s="2" t="s">
        <v>14</v>
      </c>
      <c r="E1328" s="2" t="s">
        <v>10</v>
      </c>
      <c r="F1328" s="4">
        <v>4776.8</v>
      </c>
    </row>
    <row r="1329" spans="1:6" ht="15" thickBot="1" x14ac:dyDescent="0.35">
      <c r="A1329" s="3" t="s">
        <v>150</v>
      </c>
      <c r="B1329" s="2" t="s">
        <v>30</v>
      </c>
      <c r="C1329" s="2" t="s">
        <v>23</v>
      </c>
      <c r="D1329" s="2" t="s">
        <v>14</v>
      </c>
      <c r="E1329" s="2" t="s">
        <v>24</v>
      </c>
      <c r="F1329" s="4">
        <v>1736.71</v>
      </c>
    </row>
    <row r="1330" spans="1:6" ht="15" thickBot="1" x14ac:dyDescent="0.35">
      <c r="A1330" s="3" t="s">
        <v>70</v>
      </c>
      <c r="B1330" s="2" t="s">
        <v>19</v>
      </c>
      <c r="C1330" s="2" t="s">
        <v>8</v>
      </c>
      <c r="D1330" s="2" t="s">
        <v>14</v>
      </c>
      <c r="E1330" s="2" t="s">
        <v>15</v>
      </c>
      <c r="F1330" s="4">
        <v>4367.4799999999996</v>
      </c>
    </row>
    <row r="1331" spans="1:6" ht="15" thickBot="1" x14ac:dyDescent="0.35">
      <c r="A1331" s="3" t="s">
        <v>143</v>
      </c>
      <c r="B1331" s="2" t="s">
        <v>17</v>
      </c>
      <c r="C1331" s="2" t="s">
        <v>23</v>
      </c>
      <c r="D1331" s="2" t="s">
        <v>28</v>
      </c>
      <c r="E1331" s="2" t="s">
        <v>15</v>
      </c>
      <c r="F1331" s="4">
        <v>700.15</v>
      </c>
    </row>
    <row r="1332" spans="1:6" ht="15" thickBot="1" x14ac:dyDescent="0.35">
      <c r="A1332" s="3" t="s">
        <v>151</v>
      </c>
      <c r="B1332" s="2" t="s">
        <v>12</v>
      </c>
      <c r="C1332" s="2" t="s">
        <v>34</v>
      </c>
      <c r="D1332" s="2" t="s">
        <v>28</v>
      </c>
      <c r="E1332" s="2" t="s">
        <v>15</v>
      </c>
      <c r="F1332" s="4">
        <v>4667.1400000000003</v>
      </c>
    </row>
    <row r="1333" spans="1:6" ht="15" thickBot="1" x14ac:dyDescent="0.35">
      <c r="A1333" s="3" t="s">
        <v>146</v>
      </c>
      <c r="B1333" s="2" t="s">
        <v>7</v>
      </c>
      <c r="C1333" s="2" t="s">
        <v>34</v>
      </c>
      <c r="D1333" s="2" t="s">
        <v>9</v>
      </c>
      <c r="E1333" s="2" t="s">
        <v>24</v>
      </c>
      <c r="F1333" s="4">
        <v>2262.4267799999998</v>
      </c>
    </row>
    <row r="1334" spans="1:6" ht="15" thickBot="1" x14ac:dyDescent="0.35">
      <c r="A1334" s="3" t="s">
        <v>153</v>
      </c>
      <c r="B1334" s="2" t="s">
        <v>7</v>
      </c>
      <c r="C1334" s="2" t="s">
        <v>13</v>
      </c>
      <c r="D1334" s="2" t="s">
        <v>28</v>
      </c>
      <c r="E1334" s="2" t="s">
        <v>10</v>
      </c>
      <c r="F1334" s="4">
        <v>4898.1499999999996</v>
      </c>
    </row>
    <row r="1335" spans="1:6" ht="15" thickBot="1" x14ac:dyDescent="0.35">
      <c r="A1335" s="3" t="s">
        <v>208</v>
      </c>
      <c r="B1335" s="2" t="s">
        <v>19</v>
      </c>
      <c r="C1335" s="2" t="s">
        <v>13</v>
      </c>
      <c r="D1335" s="2" t="s">
        <v>14</v>
      </c>
      <c r="E1335" s="2" t="s">
        <v>15</v>
      </c>
      <c r="F1335" s="4">
        <v>2735.09</v>
      </c>
    </row>
    <row r="1336" spans="1:6" ht="15" thickBot="1" x14ac:dyDescent="0.35">
      <c r="A1336" s="3" t="s">
        <v>32</v>
      </c>
      <c r="B1336" s="2" t="s">
        <v>7</v>
      </c>
      <c r="C1336" s="2" t="s">
        <v>13</v>
      </c>
      <c r="D1336" s="2" t="s">
        <v>28</v>
      </c>
      <c r="E1336" s="2" t="s">
        <v>15</v>
      </c>
      <c r="F1336" s="4">
        <v>129.43</v>
      </c>
    </row>
    <row r="1337" spans="1:6" ht="15" thickBot="1" x14ac:dyDescent="0.35">
      <c r="A1337" s="3" t="s">
        <v>203</v>
      </c>
      <c r="B1337" s="2" t="s">
        <v>12</v>
      </c>
      <c r="C1337" s="2" t="s">
        <v>34</v>
      </c>
      <c r="D1337" s="2" t="s">
        <v>28</v>
      </c>
      <c r="E1337" s="2" t="s">
        <v>15</v>
      </c>
      <c r="F1337" s="4">
        <v>556.38</v>
      </c>
    </row>
    <row r="1338" spans="1:6" ht="15" thickBot="1" x14ac:dyDescent="0.35">
      <c r="A1338" s="3" t="s">
        <v>67</v>
      </c>
      <c r="B1338" s="2" t="s">
        <v>7</v>
      </c>
      <c r="C1338" s="2" t="s">
        <v>23</v>
      </c>
      <c r="D1338" s="2" t="s">
        <v>14</v>
      </c>
      <c r="E1338" s="2" t="s">
        <v>10</v>
      </c>
      <c r="F1338" s="4">
        <v>358.08</v>
      </c>
    </row>
    <row r="1339" spans="1:6" ht="15" thickBot="1" x14ac:dyDescent="0.35">
      <c r="A1339" s="3" t="s">
        <v>87</v>
      </c>
      <c r="B1339" s="2" t="s">
        <v>12</v>
      </c>
      <c r="C1339" s="2" t="s">
        <v>34</v>
      </c>
      <c r="D1339" s="2" t="s">
        <v>9</v>
      </c>
      <c r="E1339" s="2" t="s">
        <v>24</v>
      </c>
      <c r="F1339" s="4">
        <v>5236.8358760000001</v>
      </c>
    </row>
    <row r="1340" spans="1:6" ht="15" thickBot="1" x14ac:dyDescent="0.35">
      <c r="A1340" s="3" t="s">
        <v>210</v>
      </c>
      <c r="B1340" s="2" t="s">
        <v>7</v>
      </c>
      <c r="C1340" s="2" t="s">
        <v>34</v>
      </c>
      <c r="D1340" s="2" t="s">
        <v>28</v>
      </c>
      <c r="E1340" s="2" t="s">
        <v>24</v>
      </c>
      <c r="F1340" s="4">
        <v>2820.63</v>
      </c>
    </row>
    <row r="1341" spans="1:6" ht="15" thickBot="1" x14ac:dyDescent="0.35">
      <c r="A1341" s="3" t="s">
        <v>35</v>
      </c>
      <c r="B1341" s="2" t="s">
        <v>19</v>
      </c>
      <c r="C1341" s="2" t="s">
        <v>34</v>
      </c>
      <c r="D1341" s="2" t="s">
        <v>9</v>
      </c>
      <c r="E1341" s="2" t="s">
        <v>15</v>
      </c>
      <c r="F1341" s="4">
        <v>1652.6301820000001</v>
      </c>
    </row>
    <row r="1342" spans="1:6" ht="15" thickBot="1" x14ac:dyDescent="0.35">
      <c r="A1342" s="3" t="s">
        <v>206</v>
      </c>
      <c r="B1342" s="2" t="s">
        <v>19</v>
      </c>
      <c r="C1342" s="2" t="s">
        <v>34</v>
      </c>
      <c r="D1342" s="2" t="s">
        <v>9</v>
      </c>
      <c r="E1342" s="2" t="s">
        <v>15</v>
      </c>
      <c r="F1342" s="4">
        <v>4298.4759350000004</v>
      </c>
    </row>
    <row r="1343" spans="1:6" ht="15" thickBot="1" x14ac:dyDescent="0.35">
      <c r="A1343" s="3" t="s">
        <v>169</v>
      </c>
      <c r="B1343" s="2" t="s">
        <v>12</v>
      </c>
      <c r="C1343" s="2" t="s">
        <v>34</v>
      </c>
      <c r="D1343" s="2" t="s">
        <v>14</v>
      </c>
      <c r="E1343" s="2" t="s">
        <v>10</v>
      </c>
      <c r="F1343" s="4">
        <v>2188.52</v>
      </c>
    </row>
    <row r="1344" spans="1:6" ht="15" thickBot="1" x14ac:dyDescent="0.35">
      <c r="A1344" s="3" t="s">
        <v>141</v>
      </c>
      <c r="B1344" s="2" t="s">
        <v>7</v>
      </c>
      <c r="C1344" s="2" t="s">
        <v>8</v>
      </c>
      <c r="D1344" s="2" t="s">
        <v>28</v>
      </c>
      <c r="E1344" s="2" t="s">
        <v>15</v>
      </c>
      <c r="F1344" s="4">
        <v>228.37</v>
      </c>
    </row>
    <row r="1345" spans="1:6" ht="15" thickBot="1" x14ac:dyDescent="0.35">
      <c r="A1345" s="3" t="s">
        <v>169</v>
      </c>
      <c r="B1345" s="2" t="s">
        <v>12</v>
      </c>
      <c r="C1345" s="2" t="s">
        <v>34</v>
      </c>
      <c r="D1345" s="2" t="s">
        <v>9</v>
      </c>
      <c r="E1345" s="2" t="s">
        <v>10</v>
      </c>
      <c r="F1345" s="4">
        <v>3425.06</v>
      </c>
    </row>
    <row r="1346" spans="1:6" ht="15" thickBot="1" x14ac:dyDescent="0.35">
      <c r="A1346" s="3" t="s">
        <v>140</v>
      </c>
      <c r="B1346" s="2" t="s">
        <v>17</v>
      </c>
      <c r="C1346" s="2" t="s">
        <v>34</v>
      </c>
      <c r="D1346" s="2" t="s">
        <v>28</v>
      </c>
      <c r="E1346" s="2" t="s">
        <v>24</v>
      </c>
      <c r="F1346" s="4">
        <v>3780.56</v>
      </c>
    </row>
    <row r="1347" spans="1:6" ht="15" thickBot="1" x14ac:dyDescent="0.35">
      <c r="A1347" s="3" t="s">
        <v>113</v>
      </c>
      <c r="B1347" s="2" t="s">
        <v>30</v>
      </c>
      <c r="C1347" s="2" t="s">
        <v>13</v>
      </c>
      <c r="D1347" s="2" t="s">
        <v>28</v>
      </c>
      <c r="E1347" s="2" t="s">
        <v>24</v>
      </c>
      <c r="F1347" s="4">
        <v>1026.45</v>
      </c>
    </row>
    <row r="1348" spans="1:6" ht="15" thickBot="1" x14ac:dyDescent="0.35">
      <c r="A1348" s="3" t="s">
        <v>73</v>
      </c>
      <c r="B1348" s="2" t="s">
        <v>30</v>
      </c>
      <c r="C1348" s="2" t="s">
        <v>8</v>
      </c>
      <c r="D1348" s="2" t="s">
        <v>9</v>
      </c>
      <c r="E1348" s="2" t="s">
        <v>15</v>
      </c>
      <c r="F1348" s="4">
        <v>1973.1370979999999</v>
      </c>
    </row>
    <row r="1349" spans="1:6" ht="15" thickBot="1" x14ac:dyDescent="0.35">
      <c r="A1349" s="3" t="s">
        <v>203</v>
      </c>
      <c r="B1349" s="2" t="s">
        <v>12</v>
      </c>
      <c r="C1349" s="2" t="s">
        <v>13</v>
      </c>
      <c r="D1349" s="2" t="s">
        <v>9</v>
      </c>
      <c r="E1349" s="2" t="s">
        <v>15</v>
      </c>
      <c r="F1349" s="4">
        <v>3828.4128340000002</v>
      </c>
    </row>
    <row r="1350" spans="1:6" ht="15" thickBot="1" x14ac:dyDescent="0.35">
      <c r="A1350" s="3" t="s">
        <v>63</v>
      </c>
      <c r="B1350" s="2" t="s">
        <v>12</v>
      </c>
      <c r="C1350" s="2" t="s">
        <v>23</v>
      </c>
      <c r="D1350" s="2" t="s">
        <v>28</v>
      </c>
      <c r="E1350" s="2" t="s">
        <v>10</v>
      </c>
      <c r="F1350" s="4">
        <v>3883.26</v>
      </c>
    </row>
    <row r="1351" spans="1:6" ht="15" thickBot="1" x14ac:dyDescent="0.35">
      <c r="A1351" s="3" t="s">
        <v>77</v>
      </c>
      <c r="B1351" s="2" t="s">
        <v>30</v>
      </c>
      <c r="C1351" s="2" t="s">
        <v>8</v>
      </c>
      <c r="D1351" s="2" t="s">
        <v>9</v>
      </c>
      <c r="E1351" s="2" t="s">
        <v>15</v>
      </c>
      <c r="F1351" s="4">
        <v>4934.9743390000003</v>
      </c>
    </row>
    <row r="1352" spans="1:6" ht="15" thickBot="1" x14ac:dyDescent="0.35">
      <c r="A1352" s="3" t="s">
        <v>20</v>
      </c>
      <c r="B1352" s="2" t="s">
        <v>17</v>
      </c>
      <c r="C1352" s="2" t="s">
        <v>13</v>
      </c>
      <c r="D1352" s="2" t="s">
        <v>14</v>
      </c>
      <c r="E1352" s="2" t="s">
        <v>24</v>
      </c>
      <c r="F1352" s="4">
        <v>336.58</v>
      </c>
    </row>
    <row r="1353" spans="1:6" ht="15" thickBot="1" x14ac:dyDescent="0.35">
      <c r="A1353" s="3" t="s">
        <v>174</v>
      </c>
      <c r="B1353" s="2" t="s">
        <v>19</v>
      </c>
      <c r="C1353" s="2" t="s">
        <v>13</v>
      </c>
      <c r="D1353" s="2" t="s">
        <v>28</v>
      </c>
      <c r="E1353" s="2" t="s">
        <v>10</v>
      </c>
      <c r="F1353" s="4">
        <v>3817.85</v>
      </c>
    </row>
    <row r="1354" spans="1:6" ht="15" thickBot="1" x14ac:dyDescent="0.35">
      <c r="A1354" s="3" t="s">
        <v>95</v>
      </c>
      <c r="B1354" s="2" t="s">
        <v>30</v>
      </c>
      <c r="C1354" s="2" t="s">
        <v>13</v>
      </c>
      <c r="D1354" s="2" t="s">
        <v>28</v>
      </c>
      <c r="E1354" s="2" t="s">
        <v>15</v>
      </c>
      <c r="F1354" s="4">
        <v>1089.25</v>
      </c>
    </row>
    <row r="1355" spans="1:6" ht="15" thickBot="1" x14ac:dyDescent="0.35">
      <c r="A1355" s="3" t="s">
        <v>68</v>
      </c>
      <c r="B1355" s="2" t="s">
        <v>12</v>
      </c>
      <c r="C1355" s="2" t="s">
        <v>23</v>
      </c>
      <c r="D1355" s="2" t="s">
        <v>9</v>
      </c>
      <c r="E1355" s="2" t="s">
        <v>10</v>
      </c>
      <c r="F1355" s="4">
        <v>316.07829400000003</v>
      </c>
    </row>
    <row r="1356" spans="1:6" ht="15" thickBot="1" x14ac:dyDescent="0.35">
      <c r="A1356" s="3" t="s">
        <v>55</v>
      </c>
      <c r="B1356" s="2" t="s">
        <v>12</v>
      </c>
      <c r="C1356" s="2" t="s">
        <v>13</v>
      </c>
      <c r="D1356" s="2" t="s">
        <v>14</v>
      </c>
      <c r="E1356" s="2" t="s">
        <v>15</v>
      </c>
      <c r="F1356" s="4">
        <v>2112.3200000000002</v>
      </c>
    </row>
    <row r="1357" spans="1:6" ht="15" thickBot="1" x14ac:dyDescent="0.35">
      <c r="A1357" s="3" t="s">
        <v>59</v>
      </c>
      <c r="B1357" s="2" t="s">
        <v>17</v>
      </c>
      <c r="C1357" s="2" t="s">
        <v>23</v>
      </c>
      <c r="D1357" s="2" t="s">
        <v>9</v>
      </c>
      <c r="E1357" s="2" t="s">
        <v>10</v>
      </c>
      <c r="F1357" s="4">
        <v>892.44</v>
      </c>
    </row>
    <row r="1358" spans="1:6" ht="15" thickBot="1" x14ac:dyDescent="0.35">
      <c r="A1358" s="3" t="s">
        <v>68</v>
      </c>
      <c r="B1358" s="2" t="s">
        <v>12</v>
      </c>
      <c r="C1358" s="2" t="s">
        <v>13</v>
      </c>
      <c r="D1358" s="2" t="s">
        <v>14</v>
      </c>
      <c r="E1358" s="2" t="s">
        <v>10</v>
      </c>
      <c r="F1358" s="4">
        <v>1569.2</v>
      </c>
    </row>
    <row r="1359" spans="1:6" ht="15" thickBot="1" x14ac:dyDescent="0.35">
      <c r="A1359" s="3" t="s">
        <v>139</v>
      </c>
      <c r="B1359" s="2" t="s">
        <v>7</v>
      </c>
      <c r="C1359" s="2" t="s">
        <v>34</v>
      </c>
      <c r="D1359" s="2" t="s">
        <v>9</v>
      </c>
      <c r="E1359" s="2" t="s">
        <v>15</v>
      </c>
      <c r="F1359" s="4">
        <v>1407.4467239999999</v>
      </c>
    </row>
    <row r="1360" spans="1:6" ht="15" thickBot="1" x14ac:dyDescent="0.35">
      <c r="A1360" s="3" t="s">
        <v>84</v>
      </c>
      <c r="B1360" s="2" t="s">
        <v>30</v>
      </c>
      <c r="C1360" s="2" t="s">
        <v>13</v>
      </c>
      <c r="D1360" s="2" t="s">
        <v>9</v>
      </c>
      <c r="E1360" s="2" t="s">
        <v>24</v>
      </c>
      <c r="F1360" s="4">
        <v>4401.5937169999997</v>
      </c>
    </row>
    <row r="1361" spans="1:6" ht="15" thickBot="1" x14ac:dyDescent="0.35">
      <c r="A1361" s="3" t="s">
        <v>124</v>
      </c>
      <c r="B1361" s="2" t="s">
        <v>12</v>
      </c>
      <c r="C1361" s="2" t="s">
        <v>34</v>
      </c>
      <c r="D1361" s="2" t="s">
        <v>28</v>
      </c>
      <c r="E1361" s="2" t="s">
        <v>10</v>
      </c>
      <c r="F1361" s="4">
        <v>4331.4399999999996</v>
      </c>
    </row>
    <row r="1362" spans="1:6" ht="15" thickBot="1" x14ac:dyDescent="0.35">
      <c r="A1362" s="3" t="s">
        <v>139</v>
      </c>
      <c r="B1362" s="2" t="s">
        <v>7</v>
      </c>
      <c r="C1362" s="2" t="s">
        <v>23</v>
      </c>
      <c r="D1362" s="2" t="s">
        <v>14</v>
      </c>
      <c r="E1362" s="2" t="s">
        <v>15</v>
      </c>
      <c r="F1362" s="4">
        <v>191.28</v>
      </c>
    </row>
    <row r="1363" spans="1:6" ht="15" thickBot="1" x14ac:dyDescent="0.35">
      <c r="A1363" s="3" t="s">
        <v>72</v>
      </c>
      <c r="B1363" s="2" t="s">
        <v>19</v>
      </c>
      <c r="C1363" s="2" t="s">
        <v>8</v>
      </c>
      <c r="D1363" s="2" t="s">
        <v>14</v>
      </c>
      <c r="E1363" s="2" t="s">
        <v>10</v>
      </c>
      <c r="F1363" s="4">
        <v>3002.77</v>
      </c>
    </row>
    <row r="1364" spans="1:6" ht="15" thickBot="1" x14ac:dyDescent="0.35">
      <c r="A1364" s="3" t="s">
        <v>37</v>
      </c>
      <c r="B1364" s="2" t="s">
        <v>17</v>
      </c>
      <c r="C1364" s="2" t="s">
        <v>8</v>
      </c>
      <c r="D1364" s="2" t="s">
        <v>28</v>
      </c>
      <c r="E1364" s="2" t="s">
        <v>24</v>
      </c>
      <c r="F1364" s="4">
        <v>2511.59</v>
      </c>
    </row>
    <row r="1365" spans="1:6" ht="15" thickBot="1" x14ac:dyDescent="0.35">
      <c r="A1365" s="3" t="s">
        <v>94</v>
      </c>
      <c r="B1365" s="2" t="s">
        <v>7</v>
      </c>
      <c r="C1365" s="2" t="s">
        <v>23</v>
      </c>
      <c r="D1365" s="2" t="s">
        <v>9</v>
      </c>
      <c r="E1365" s="2" t="s">
        <v>15</v>
      </c>
      <c r="F1365" s="4">
        <v>2282.1801989999999</v>
      </c>
    </row>
    <row r="1366" spans="1:6" ht="15" thickBot="1" x14ac:dyDescent="0.35">
      <c r="A1366" s="3" t="s">
        <v>218</v>
      </c>
      <c r="B1366" s="2" t="s">
        <v>17</v>
      </c>
      <c r="C1366" s="2" t="s">
        <v>8</v>
      </c>
      <c r="D1366" s="2" t="s">
        <v>28</v>
      </c>
      <c r="E1366" s="2" t="s">
        <v>10</v>
      </c>
      <c r="F1366" s="4">
        <v>4726.1099999999997</v>
      </c>
    </row>
    <row r="1367" spans="1:6" ht="15" thickBot="1" x14ac:dyDescent="0.35">
      <c r="A1367" s="3" t="s">
        <v>103</v>
      </c>
      <c r="B1367" s="2" t="s">
        <v>19</v>
      </c>
      <c r="C1367" s="2" t="s">
        <v>13</v>
      </c>
      <c r="D1367" s="2" t="s">
        <v>14</v>
      </c>
      <c r="E1367" s="2" t="s">
        <v>24</v>
      </c>
      <c r="F1367" s="4">
        <v>252.05</v>
      </c>
    </row>
    <row r="1368" spans="1:6" ht="15" thickBot="1" x14ac:dyDescent="0.35">
      <c r="A1368" s="3" t="s">
        <v>95</v>
      </c>
      <c r="B1368" s="2" t="s">
        <v>30</v>
      </c>
      <c r="C1368" s="2" t="s">
        <v>23</v>
      </c>
      <c r="D1368" s="2" t="s">
        <v>28</v>
      </c>
      <c r="E1368" s="2" t="s">
        <v>24</v>
      </c>
      <c r="F1368" s="4">
        <v>3693.42</v>
      </c>
    </row>
    <row r="1369" spans="1:6" ht="15" thickBot="1" x14ac:dyDescent="0.35">
      <c r="A1369" s="3" t="s">
        <v>204</v>
      </c>
      <c r="B1369" s="2" t="s">
        <v>30</v>
      </c>
      <c r="C1369" s="2" t="s">
        <v>13</v>
      </c>
      <c r="D1369" s="2" t="s">
        <v>9</v>
      </c>
      <c r="E1369" s="2" t="s">
        <v>10</v>
      </c>
      <c r="F1369" s="4">
        <v>2670.5293769999998</v>
      </c>
    </row>
    <row r="1370" spans="1:6" ht="15" thickBot="1" x14ac:dyDescent="0.35">
      <c r="A1370" s="3" t="s">
        <v>169</v>
      </c>
      <c r="B1370" s="2" t="s">
        <v>12</v>
      </c>
      <c r="C1370" s="2" t="s">
        <v>13</v>
      </c>
      <c r="D1370" s="2" t="s">
        <v>28</v>
      </c>
      <c r="E1370" s="2" t="s">
        <v>15</v>
      </c>
      <c r="F1370" s="4">
        <v>1186.4000000000001</v>
      </c>
    </row>
    <row r="1371" spans="1:6" ht="15" thickBot="1" x14ac:dyDescent="0.35">
      <c r="A1371" s="3" t="s">
        <v>52</v>
      </c>
      <c r="B1371" s="2" t="s">
        <v>19</v>
      </c>
      <c r="C1371" s="2" t="s">
        <v>23</v>
      </c>
      <c r="D1371" s="2" t="s">
        <v>9</v>
      </c>
      <c r="E1371" s="2" t="s">
        <v>10</v>
      </c>
      <c r="F1371" s="4">
        <v>1201.0995809999999</v>
      </c>
    </row>
    <row r="1372" spans="1:6" ht="15" thickBot="1" x14ac:dyDescent="0.35">
      <c r="A1372" s="3" t="s">
        <v>203</v>
      </c>
      <c r="B1372" s="2" t="s">
        <v>12</v>
      </c>
      <c r="C1372" s="2" t="s">
        <v>8</v>
      </c>
      <c r="D1372" s="2" t="s">
        <v>9</v>
      </c>
      <c r="E1372" s="2" t="s">
        <v>10</v>
      </c>
      <c r="F1372" s="4">
        <v>1093.3917960000001</v>
      </c>
    </row>
    <row r="1373" spans="1:6" ht="15" thickBot="1" x14ac:dyDescent="0.35">
      <c r="A1373" s="3" t="s">
        <v>217</v>
      </c>
      <c r="B1373" s="2" t="s">
        <v>19</v>
      </c>
      <c r="C1373" s="2" t="s">
        <v>13</v>
      </c>
      <c r="D1373" s="2" t="s">
        <v>14</v>
      </c>
      <c r="E1373" s="2" t="s">
        <v>24</v>
      </c>
      <c r="F1373" s="4">
        <v>4636.55</v>
      </c>
    </row>
    <row r="1374" spans="1:6" ht="15" thickBot="1" x14ac:dyDescent="0.35">
      <c r="A1374" s="3" t="s">
        <v>157</v>
      </c>
      <c r="B1374" s="2" t="s">
        <v>30</v>
      </c>
      <c r="C1374" s="2" t="s">
        <v>8</v>
      </c>
      <c r="D1374" s="2" t="s">
        <v>9</v>
      </c>
      <c r="E1374" s="2" t="s">
        <v>15</v>
      </c>
      <c r="F1374" s="4">
        <v>1840.534678</v>
      </c>
    </row>
    <row r="1375" spans="1:6" ht="15" thickBot="1" x14ac:dyDescent="0.35">
      <c r="A1375" s="3" t="s">
        <v>217</v>
      </c>
      <c r="B1375" s="2" t="s">
        <v>19</v>
      </c>
      <c r="C1375" s="2" t="s">
        <v>23</v>
      </c>
      <c r="D1375" s="2" t="s">
        <v>14</v>
      </c>
      <c r="E1375" s="2" t="s">
        <v>15</v>
      </c>
      <c r="F1375" s="4">
        <v>1036.07</v>
      </c>
    </row>
    <row r="1376" spans="1:6" ht="15" thickBot="1" x14ac:dyDescent="0.35">
      <c r="A1376" s="3" t="s">
        <v>193</v>
      </c>
      <c r="B1376" s="2" t="s">
        <v>12</v>
      </c>
      <c r="C1376" s="2" t="s">
        <v>13</v>
      </c>
      <c r="D1376" s="2" t="s">
        <v>9</v>
      </c>
      <c r="E1376" s="2" t="s">
        <v>15</v>
      </c>
      <c r="F1376" s="4">
        <v>390.78143080000001</v>
      </c>
    </row>
    <row r="1377" spans="1:6" ht="15" thickBot="1" x14ac:dyDescent="0.35">
      <c r="A1377" s="3" t="s">
        <v>177</v>
      </c>
      <c r="B1377" s="2" t="s">
        <v>7</v>
      </c>
      <c r="C1377" s="2" t="s">
        <v>23</v>
      </c>
      <c r="D1377" s="2" t="s">
        <v>28</v>
      </c>
      <c r="E1377" s="2" t="s">
        <v>10</v>
      </c>
      <c r="F1377" s="4">
        <v>4126.71</v>
      </c>
    </row>
    <row r="1378" spans="1:6" ht="15" thickBot="1" x14ac:dyDescent="0.35">
      <c r="A1378" s="3" t="s">
        <v>96</v>
      </c>
      <c r="B1378" s="2" t="s">
        <v>19</v>
      </c>
      <c r="C1378" s="2" t="s">
        <v>23</v>
      </c>
      <c r="D1378" s="2" t="s">
        <v>28</v>
      </c>
      <c r="E1378" s="2" t="s">
        <v>10</v>
      </c>
      <c r="F1378" s="4">
        <v>4171.8100000000004</v>
      </c>
    </row>
    <row r="1379" spans="1:6" ht="15" thickBot="1" x14ac:dyDescent="0.35">
      <c r="A1379" s="3" t="s">
        <v>145</v>
      </c>
      <c r="B1379" s="2" t="s">
        <v>7</v>
      </c>
      <c r="C1379" s="2" t="s">
        <v>8</v>
      </c>
      <c r="D1379" s="2" t="s">
        <v>14</v>
      </c>
      <c r="E1379" s="2" t="s">
        <v>24</v>
      </c>
      <c r="F1379" s="4">
        <v>3571.47</v>
      </c>
    </row>
    <row r="1380" spans="1:6" ht="15" thickBot="1" x14ac:dyDescent="0.35">
      <c r="A1380" s="3" t="s">
        <v>154</v>
      </c>
      <c r="B1380" s="2" t="s">
        <v>12</v>
      </c>
      <c r="C1380" s="2" t="s">
        <v>34</v>
      </c>
      <c r="D1380" s="2" t="s">
        <v>28</v>
      </c>
      <c r="E1380" s="2" t="s">
        <v>10</v>
      </c>
      <c r="F1380" s="4">
        <v>1961.65</v>
      </c>
    </row>
    <row r="1381" spans="1:6" ht="15" thickBot="1" x14ac:dyDescent="0.35">
      <c r="A1381" s="3" t="s">
        <v>114</v>
      </c>
      <c r="B1381" s="2" t="s">
        <v>30</v>
      </c>
      <c r="C1381" s="2" t="s">
        <v>34</v>
      </c>
      <c r="D1381" s="2" t="s">
        <v>14</v>
      </c>
      <c r="E1381" s="2" t="s">
        <v>10</v>
      </c>
      <c r="F1381" s="4">
        <v>3905.64</v>
      </c>
    </row>
    <row r="1382" spans="1:6" ht="15" thickBot="1" x14ac:dyDescent="0.35">
      <c r="A1382" s="3" t="s">
        <v>173</v>
      </c>
      <c r="B1382" s="2" t="s">
        <v>30</v>
      </c>
      <c r="C1382" s="2" t="s">
        <v>13</v>
      </c>
      <c r="D1382" s="2" t="s">
        <v>9</v>
      </c>
      <c r="E1382" s="2" t="s">
        <v>15</v>
      </c>
      <c r="F1382" s="4">
        <v>2192.9713040000001</v>
      </c>
    </row>
    <row r="1383" spans="1:6" ht="15" thickBot="1" x14ac:dyDescent="0.35">
      <c r="A1383" s="3" t="s">
        <v>201</v>
      </c>
      <c r="B1383" s="2" t="s">
        <v>12</v>
      </c>
      <c r="C1383" s="2" t="s">
        <v>23</v>
      </c>
      <c r="D1383" s="2" t="s">
        <v>14</v>
      </c>
      <c r="E1383" s="2" t="s">
        <v>15</v>
      </c>
      <c r="F1383" s="4">
        <v>369.5</v>
      </c>
    </row>
    <row r="1384" spans="1:6" ht="15" thickBot="1" x14ac:dyDescent="0.35">
      <c r="A1384" s="3" t="s">
        <v>68</v>
      </c>
      <c r="B1384" s="2" t="s">
        <v>12</v>
      </c>
      <c r="C1384" s="2" t="s">
        <v>13</v>
      </c>
      <c r="D1384" s="2" t="s">
        <v>14</v>
      </c>
      <c r="E1384" s="2" t="s">
        <v>15</v>
      </c>
      <c r="F1384" s="4">
        <v>2277.1799999999998</v>
      </c>
    </row>
    <row r="1385" spans="1:6" ht="15" thickBot="1" x14ac:dyDescent="0.35">
      <c r="A1385" s="3" t="s">
        <v>166</v>
      </c>
      <c r="B1385" s="2" t="s">
        <v>7</v>
      </c>
      <c r="C1385" s="2" t="s">
        <v>8</v>
      </c>
      <c r="D1385" s="2" t="s">
        <v>14</v>
      </c>
      <c r="E1385" s="2" t="s">
        <v>10</v>
      </c>
      <c r="F1385" s="4">
        <v>4278.8900000000003</v>
      </c>
    </row>
    <row r="1386" spans="1:6" ht="15" thickBot="1" x14ac:dyDescent="0.35">
      <c r="A1386" s="3" t="s">
        <v>123</v>
      </c>
      <c r="B1386" s="2" t="s">
        <v>30</v>
      </c>
      <c r="C1386" s="2" t="s">
        <v>13</v>
      </c>
      <c r="D1386" s="2" t="s">
        <v>14</v>
      </c>
      <c r="E1386" s="2" t="s">
        <v>15</v>
      </c>
      <c r="F1386" s="4">
        <v>3665.62</v>
      </c>
    </row>
    <row r="1387" spans="1:6" ht="15" thickBot="1" x14ac:dyDescent="0.35">
      <c r="A1387" s="3" t="s">
        <v>192</v>
      </c>
      <c r="B1387" s="2" t="s">
        <v>19</v>
      </c>
      <c r="C1387" s="2" t="s">
        <v>13</v>
      </c>
      <c r="D1387" s="2" t="s">
        <v>9</v>
      </c>
      <c r="E1387" s="2" t="s">
        <v>15</v>
      </c>
      <c r="F1387" s="4">
        <v>4127.2296200000001</v>
      </c>
    </row>
    <row r="1388" spans="1:6" ht="15" thickBot="1" x14ac:dyDescent="0.35">
      <c r="A1388" s="3" t="s">
        <v>55</v>
      </c>
      <c r="B1388" s="2" t="s">
        <v>12</v>
      </c>
      <c r="C1388" s="2" t="s">
        <v>23</v>
      </c>
      <c r="D1388" s="2" t="s">
        <v>14</v>
      </c>
      <c r="E1388" s="2" t="s">
        <v>24</v>
      </c>
      <c r="F1388" s="4">
        <v>1251.29</v>
      </c>
    </row>
    <row r="1389" spans="1:6" ht="15" thickBot="1" x14ac:dyDescent="0.35">
      <c r="A1389" s="3" t="s">
        <v>207</v>
      </c>
      <c r="B1389" s="2" t="s">
        <v>17</v>
      </c>
      <c r="C1389" s="2" t="s">
        <v>13</v>
      </c>
      <c r="D1389" s="2" t="s">
        <v>28</v>
      </c>
      <c r="E1389" s="2" t="s">
        <v>15</v>
      </c>
      <c r="F1389" s="4">
        <v>3935.94</v>
      </c>
    </row>
    <row r="1390" spans="1:6" ht="15" thickBot="1" x14ac:dyDescent="0.35">
      <c r="A1390" s="3" t="s">
        <v>42</v>
      </c>
      <c r="B1390" s="2" t="s">
        <v>30</v>
      </c>
      <c r="C1390" s="2" t="s">
        <v>34</v>
      </c>
      <c r="D1390" s="2" t="s">
        <v>28</v>
      </c>
      <c r="E1390" s="2" t="s">
        <v>15</v>
      </c>
      <c r="F1390" s="4">
        <v>1012.81</v>
      </c>
    </row>
    <row r="1391" spans="1:6" ht="15" thickBot="1" x14ac:dyDescent="0.35">
      <c r="A1391" s="3" t="s">
        <v>205</v>
      </c>
      <c r="B1391" s="2" t="s">
        <v>17</v>
      </c>
      <c r="C1391" s="2" t="s">
        <v>23</v>
      </c>
      <c r="D1391" s="2" t="s">
        <v>28</v>
      </c>
      <c r="E1391" s="2" t="s">
        <v>15</v>
      </c>
      <c r="F1391" s="4">
        <v>817.03</v>
      </c>
    </row>
    <row r="1392" spans="1:6" ht="15" thickBot="1" x14ac:dyDescent="0.35">
      <c r="A1392" s="3" t="s">
        <v>170</v>
      </c>
      <c r="B1392" s="2" t="s">
        <v>12</v>
      </c>
      <c r="C1392" s="2" t="s">
        <v>13</v>
      </c>
      <c r="D1392" s="2" t="s">
        <v>28</v>
      </c>
      <c r="E1392" s="2" t="s">
        <v>15</v>
      </c>
      <c r="F1392" s="4">
        <v>4733.58</v>
      </c>
    </row>
    <row r="1393" spans="1:6" ht="15" thickBot="1" x14ac:dyDescent="0.35">
      <c r="A1393" s="3" t="s">
        <v>112</v>
      </c>
      <c r="B1393" s="2" t="s">
        <v>30</v>
      </c>
      <c r="C1393" s="2" t="s">
        <v>23</v>
      </c>
      <c r="D1393" s="2" t="s">
        <v>14</v>
      </c>
      <c r="E1393" s="2" t="s">
        <v>10</v>
      </c>
      <c r="F1393" s="4">
        <v>4851.63</v>
      </c>
    </row>
    <row r="1394" spans="1:6" ht="15" thickBot="1" x14ac:dyDescent="0.35">
      <c r="A1394" s="3" t="s">
        <v>173</v>
      </c>
      <c r="B1394" s="2" t="s">
        <v>30</v>
      </c>
      <c r="C1394" s="2" t="s">
        <v>34</v>
      </c>
      <c r="D1394" s="2" t="s">
        <v>28</v>
      </c>
      <c r="E1394" s="2" t="s">
        <v>10</v>
      </c>
      <c r="F1394" s="4">
        <v>2889.59</v>
      </c>
    </row>
    <row r="1395" spans="1:6" ht="15" thickBot="1" x14ac:dyDescent="0.35">
      <c r="A1395" s="3" t="s">
        <v>126</v>
      </c>
      <c r="B1395" s="2" t="s">
        <v>30</v>
      </c>
      <c r="C1395" s="2" t="s">
        <v>34</v>
      </c>
      <c r="D1395" s="2" t="s">
        <v>14</v>
      </c>
      <c r="E1395" s="2" t="s">
        <v>10</v>
      </c>
      <c r="F1395" s="4">
        <v>2545.79</v>
      </c>
    </row>
    <row r="1396" spans="1:6" ht="15" thickBot="1" x14ac:dyDescent="0.35">
      <c r="A1396" s="3" t="s">
        <v>206</v>
      </c>
      <c r="B1396" s="2" t="s">
        <v>19</v>
      </c>
      <c r="C1396" s="2" t="s">
        <v>23</v>
      </c>
      <c r="D1396" s="2" t="s">
        <v>9</v>
      </c>
      <c r="E1396" s="2" t="s">
        <v>24</v>
      </c>
      <c r="F1396" s="4">
        <v>3857.3744120000001</v>
      </c>
    </row>
    <row r="1397" spans="1:6" ht="15" thickBot="1" x14ac:dyDescent="0.35">
      <c r="A1397" s="3" t="s">
        <v>29</v>
      </c>
      <c r="B1397" s="2" t="s">
        <v>30</v>
      </c>
      <c r="C1397" s="2" t="s">
        <v>8</v>
      </c>
      <c r="D1397" s="2" t="s">
        <v>9</v>
      </c>
      <c r="E1397" s="2" t="s">
        <v>10</v>
      </c>
      <c r="F1397" s="4">
        <v>1399.1880410000001</v>
      </c>
    </row>
    <row r="1398" spans="1:6" ht="15" thickBot="1" x14ac:dyDescent="0.35">
      <c r="A1398" s="3" t="s">
        <v>115</v>
      </c>
      <c r="B1398" s="2" t="s">
        <v>19</v>
      </c>
      <c r="C1398" s="2" t="s">
        <v>8</v>
      </c>
      <c r="D1398" s="2" t="s">
        <v>28</v>
      </c>
      <c r="E1398" s="2" t="s">
        <v>10</v>
      </c>
      <c r="F1398" s="4">
        <v>1563.76</v>
      </c>
    </row>
    <row r="1399" spans="1:6" ht="15" thickBot="1" x14ac:dyDescent="0.35">
      <c r="A1399" s="3" t="s">
        <v>218</v>
      </c>
      <c r="B1399" s="2" t="s">
        <v>17</v>
      </c>
      <c r="C1399" s="2" t="s">
        <v>13</v>
      </c>
      <c r="D1399" s="2" t="s">
        <v>14</v>
      </c>
      <c r="E1399" s="2" t="s">
        <v>10</v>
      </c>
      <c r="F1399" s="4">
        <v>2518.31</v>
      </c>
    </row>
    <row r="1400" spans="1:6" ht="15" thickBot="1" x14ac:dyDescent="0.35">
      <c r="A1400" s="3" t="s">
        <v>71</v>
      </c>
      <c r="B1400" s="2" t="s">
        <v>7</v>
      </c>
      <c r="C1400" s="2" t="s">
        <v>23</v>
      </c>
      <c r="D1400" s="2" t="s">
        <v>14</v>
      </c>
      <c r="E1400" s="2" t="s">
        <v>15</v>
      </c>
      <c r="F1400" s="4">
        <v>4134.78</v>
      </c>
    </row>
    <row r="1401" spans="1:6" ht="15" thickBot="1" x14ac:dyDescent="0.35">
      <c r="A1401" s="3" t="s">
        <v>178</v>
      </c>
      <c r="B1401" s="2" t="s">
        <v>30</v>
      </c>
      <c r="C1401" s="2" t="s">
        <v>8</v>
      </c>
      <c r="D1401" s="2" t="s">
        <v>28</v>
      </c>
      <c r="E1401" s="2" t="s">
        <v>10</v>
      </c>
      <c r="F1401" s="4">
        <v>2532.84</v>
      </c>
    </row>
    <row r="1402" spans="1:6" ht="15" thickBot="1" x14ac:dyDescent="0.35">
      <c r="A1402" s="3" t="s">
        <v>110</v>
      </c>
      <c r="B1402" s="2" t="s">
        <v>12</v>
      </c>
      <c r="C1402" s="2" t="s">
        <v>8</v>
      </c>
      <c r="D1402" s="2" t="s">
        <v>14</v>
      </c>
      <c r="E1402" s="2" t="s">
        <v>10</v>
      </c>
      <c r="F1402" s="4">
        <v>2192.7800000000002</v>
      </c>
    </row>
    <row r="1403" spans="1:6" ht="15" thickBot="1" x14ac:dyDescent="0.35">
      <c r="A1403" s="3" t="s">
        <v>168</v>
      </c>
      <c r="B1403" s="2" t="s">
        <v>17</v>
      </c>
      <c r="C1403" s="2" t="s">
        <v>23</v>
      </c>
      <c r="D1403" s="2" t="s">
        <v>28</v>
      </c>
      <c r="E1403" s="2" t="s">
        <v>24</v>
      </c>
      <c r="F1403" s="4">
        <v>2433.0700000000002</v>
      </c>
    </row>
    <row r="1404" spans="1:6" ht="15" thickBot="1" x14ac:dyDescent="0.35">
      <c r="A1404" s="3" t="s">
        <v>190</v>
      </c>
      <c r="B1404" s="2" t="s">
        <v>17</v>
      </c>
      <c r="C1404" s="2" t="s">
        <v>8</v>
      </c>
      <c r="D1404" s="2" t="s">
        <v>28</v>
      </c>
      <c r="E1404" s="2" t="s">
        <v>10</v>
      </c>
      <c r="F1404" s="4">
        <v>3760.84</v>
      </c>
    </row>
    <row r="1405" spans="1:6" ht="15" thickBot="1" x14ac:dyDescent="0.35">
      <c r="A1405" s="3" t="s">
        <v>64</v>
      </c>
      <c r="B1405" s="2" t="s">
        <v>30</v>
      </c>
      <c r="C1405" s="2" t="s">
        <v>8</v>
      </c>
      <c r="D1405" s="2" t="s">
        <v>9</v>
      </c>
      <c r="E1405" s="2" t="s">
        <v>10</v>
      </c>
      <c r="F1405" s="4">
        <v>3726.94</v>
      </c>
    </row>
    <row r="1406" spans="1:6" ht="15" thickBot="1" x14ac:dyDescent="0.35">
      <c r="A1406" s="3" t="s">
        <v>186</v>
      </c>
      <c r="B1406" s="2" t="s">
        <v>30</v>
      </c>
      <c r="C1406" s="2" t="s">
        <v>8</v>
      </c>
      <c r="D1406" s="2" t="s">
        <v>14</v>
      </c>
      <c r="E1406" s="2" t="s">
        <v>10</v>
      </c>
      <c r="F1406" s="4">
        <v>3670.96</v>
      </c>
    </row>
    <row r="1407" spans="1:6" ht="15" thickBot="1" x14ac:dyDescent="0.35">
      <c r="A1407" s="3" t="s">
        <v>97</v>
      </c>
      <c r="B1407" s="2" t="s">
        <v>7</v>
      </c>
      <c r="C1407" s="2" t="s">
        <v>13</v>
      </c>
      <c r="D1407" s="2" t="s">
        <v>9</v>
      </c>
      <c r="E1407" s="2" t="s">
        <v>10</v>
      </c>
      <c r="F1407" s="4">
        <v>1821.13</v>
      </c>
    </row>
    <row r="1408" spans="1:6" ht="15" thickBot="1" x14ac:dyDescent="0.35">
      <c r="A1408" s="3" t="s">
        <v>163</v>
      </c>
      <c r="B1408" s="2" t="s">
        <v>19</v>
      </c>
      <c r="C1408" s="2" t="s">
        <v>23</v>
      </c>
      <c r="D1408" s="2" t="s">
        <v>28</v>
      </c>
      <c r="E1408" s="2" t="s">
        <v>10</v>
      </c>
      <c r="F1408" s="4">
        <v>231.16</v>
      </c>
    </row>
    <row r="1409" spans="1:6" ht="15" thickBot="1" x14ac:dyDescent="0.35">
      <c r="A1409" s="3" t="s">
        <v>165</v>
      </c>
      <c r="B1409" s="2" t="s">
        <v>7</v>
      </c>
      <c r="C1409" s="2" t="s">
        <v>13</v>
      </c>
      <c r="D1409" s="2" t="s">
        <v>9</v>
      </c>
      <c r="E1409" s="2" t="s">
        <v>15</v>
      </c>
      <c r="F1409" s="4">
        <v>1503.886974</v>
      </c>
    </row>
    <row r="1410" spans="1:6" ht="15" thickBot="1" x14ac:dyDescent="0.35">
      <c r="A1410" s="3" t="s">
        <v>65</v>
      </c>
      <c r="B1410" s="2" t="s">
        <v>30</v>
      </c>
      <c r="C1410" s="2" t="s">
        <v>23</v>
      </c>
      <c r="D1410" s="2" t="s">
        <v>28</v>
      </c>
      <c r="E1410" s="2" t="s">
        <v>24</v>
      </c>
      <c r="F1410" s="4">
        <v>1448.62</v>
      </c>
    </row>
    <row r="1411" spans="1:6" ht="15" thickBot="1" x14ac:dyDescent="0.35">
      <c r="A1411" s="3" t="s">
        <v>95</v>
      </c>
      <c r="B1411" s="2" t="s">
        <v>30</v>
      </c>
      <c r="C1411" s="2" t="s">
        <v>13</v>
      </c>
      <c r="D1411" s="2" t="s">
        <v>14</v>
      </c>
      <c r="E1411" s="2" t="s">
        <v>10</v>
      </c>
      <c r="F1411" s="4">
        <v>3712.48</v>
      </c>
    </row>
    <row r="1412" spans="1:6" ht="15" thickBot="1" x14ac:dyDescent="0.35">
      <c r="A1412" s="3" t="s">
        <v>98</v>
      </c>
      <c r="B1412" s="2" t="s">
        <v>19</v>
      </c>
      <c r="C1412" s="2" t="s">
        <v>23</v>
      </c>
      <c r="D1412" s="2" t="s">
        <v>28</v>
      </c>
      <c r="E1412" s="2" t="s">
        <v>10</v>
      </c>
      <c r="F1412" s="4">
        <v>4843.3</v>
      </c>
    </row>
    <row r="1413" spans="1:6" ht="15" thickBot="1" x14ac:dyDescent="0.35">
      <c r="A1413" s="3" t="s">
        <v>137</v>
      </c>
      <c r="B1413" s="2" t="s">
        <v>17</v>
      </c>
      <c r="C1413" s="2" t="s">
        <v>23</v>
      </c>
      <c r="D1413" s="2" t="s">
        <v>14</v>
      </c>
      <c r="E1413" s="2" t="s">
        <v>15</v>
      </c>
      <c r="F1413" s="4">
        <v>2038.87</v>
      </c>
    </row>
    <row r="1414" spans="1:6" ht="15" thickBot="1" x14ac:dyDescent="0.35">
      <c r="A1414" s="3" t="s">
        <v>218</v>
      </c>
      <c r="B1414" s="2" t="s">
        <v>17</v>
      </c>
      <c r="C1414" s="2" t="s">
        <v>8</v>
      </c>
      <c r="D1414" s="2" t="s">
        <v>28</v>
      </c>
      <c r="E1414" s="2" t="s">
        <v>24</v>
      </c>
      <c r="F1414" s="4">
        <v>501.53</v>
      </c>
    </row>
    <row r="1415" spans="1:6" ht="15" thickBot="1" x14ac:dyDescent="0.35">
      <c r="A1415" s="3" t="s">
        <v>141</v>
      </c>
      <c r="B1415" s="2" t="s">
        <v>7</v>
      </c>
      <c r="C1415" s="2" t="s">
        <v>34</v>
      </c>
      <c r="D1415" s="2" t="s">
        <v>14</v>
      </c>
      <c r="E1415" s="2" t="s">
        <v>24</v>
      </c>
      <c r="F1415" s="4">
        <v>2494.41</v>
      </c>
    </row>
    <row r="1416" spans="1:6" ht="15" thickBot="1" x14ac:dyDescent="0.35">
      <c r="A1416" s="3" t="s">
        <v>79</v>
      </c>
      <c r="B1416" s="2" t="s">
        <v>17</v>
      </c>
      <c r="C1416" s="2" t="s">
        <v>8</v>
      </c>
      <c r="D1416" s="2" t="s">
        <v>14</v>
      </c>
      <c r="E1416" s="2" t="s">
        <v>24</v>
      </c>
      <c r="F1416" s="4">
        <v>3410.79</v>
      </c>
    </row>
    <row r="1417" spans="1:6" ht="15" thickBot="1" x14ac:dyDescent="0.35">
      <c r="A1417" s="3" t="s">
        <v>89</v>
      </c>
      <c r="B1417" s="2" t="s">
        <v>17</v>
      </c>
      <c r="C1417" s="2" t="s">
        <v>8</v>
      </c>
      <c r="D1417" s="2" t="s">
        <v>9</v>
      </c>
      <c r="E1417" s="2" t="s">
        <v>15</v>
      </c>
      <c r="F1417" s="4">
        <v>4596.0482240000001</v>
      </c>
    </row>
    <row r="1418" spans="1:6" ht="15" thickBot="1" x14ac:dyDescent="0.35">
      <c r="A1418" s="3" t="s">
        <v>160</v>
      </c>
      <c r="B1418" s="2" t="s">
        <v>30</v>
      </c>
      <c r="C1418" s="2" t="s">
        <v>8</v>
      </c>
      <c r="D1418" s="2" t="s">
        <v>28</v>
      </c>
      <c r="E1418" s="2" t="s">
        <v>24</v>
      </c>
      <c r="F1418" s="4">
        <v>2175.48</v>
      </c>
    </row>
    <row r="1419" spans="1:6" ht="15" thickBot="1" x14ac:dyDescent="0.35">
      <c r="A1419" s="3" t="s">
        <v>173</v>
      </c>
      <c r="B1419" s="2" t="s">
        <v>30</v>
      </c>
      <c r="C1419" s="2" t="s">
        <v>8</v>
      </c>
      <c r="D1419" s="2" t="s">
        <v>28</v>
      </c>
      <c r="E1419" s="2" t="s">
        <v>10</v>
      </c>
      <c r="F1419" s="4">
        <v>4410.9799999999996</v>
      </c>
    </row>
    <row r="1420" spans="1:6" ht="15" thickBot="1" x14ac:dyDescent="0.35">
      <c r="A1420" s="3" t="s">
        <v>67</v>
      </c>
      <c r="B1420" s="2" t="s">
        <v>7</v>
      </c>
      <c r="C1420" s="2" t="s">
        <v>8</v>
      </c>
      <c r="D1420" s="2" t="s">
        <v>9</v>
      </c>
      <c r="E1420" s="2" t="s">
        <v>15</v>
      </c>
      <c r="F1420" s="4">
        <v>4785.2299999999996</v>
      </c>
    </row>
    <row r="1421" spans="1:6" ht="15" thickBot="1" x14ac:dyDescent="0.35">
      <c r="A1421" s="3" t="s">
        <v>45</v>
      </c>
      <c r="B1421" s="2" t="s">
        <v>7</v>
      </c>
      <c r="C1421" s="2" t="s">
        <v>23</v>
      </c>
      <c r="D1421" s="2" t="s">
        <v>28</v>
      </c>
      <c r="E1421" s="2" t="s">
        <v>15</v>
      </c>
      <c r="F1421" s="4">
        <v>3604.55</v>
      </c>
    </row>
    <row r="1422" spans="1:6" ht="15" thickBot="1" x14ac:dyDescent="0.35">
      <c r="A1422" s="3" t="s">
        <v>109</v>
      </c>
      <c r="B1422" s="2" t="s">
        <v>12</v>
      </c>
      <c r="C1422" s="2" t="s">
        <v>13</v>
      </c>
      <c r="D1422" s="2" t="s">
        <v>28</v>
      </c>
      <c r="E1422" s="2" t="s">
        <v>15</v>
      </c>
      <c r="F1422" s="4">
        <v>3470.96</v>
      </c>
    </row>
    <row r="1423" spans="1:6" ht="15" thickBot="1" x14ac:dyDescent="0.35">
      <c r="A1423" s="3" t="s">
        <v>112</v>
      </c>
      <c r="B1423" s="2" t="s">
        <v>30</v>
      </c>
      <c r="C1423" s="2" t="s">
        <v>23</v>
      </c>
      <c r="D1423" s="2" t="s">
        <v>14</v>
      </c>
      <c r="E1423" s="2" t="s">
        <v>10</v>
      </c>
      <c r="F1423" s="4">
        <v>3506.46</v>
      </c>
    </row>
    <row r="1424" spans="1:6" ht="15" thickBot="1" x14ac:dyDescent="0.35">
      <c r="A1424" s="3" t="s">
        <v>175</v>
      </c>
      <c r="B1424" s="2" t="s">
        <v>7</v>
      </c>
      <c r="C1424" s="2" t="s">
        <v>13</v>
      </c>
      <c r="D1424" s="2" t="s">
        <v>9</v>
      </c>
      <c r="E1424" s="2" t="s">
        <v>24</v>
      </c>
      <c r="F1424" s="4">
        <v>2058.1298219999999</v>
      </c>
    </row>
    <row r="1425" spans="1:6" ht="15" thickBot="1" x14ac:dyDescent="0.35">
      <c r="A1425" s="3" t="s">
        <v>94</v>
      </c>
      <c r="B1425" s="2" t="s">
        <v>7</v>
      </c>
      <c r="C1425" s="2" t="s">
        <v>34</v>
      </c>
      <c r="D1425" s="2" t="s">
        <v>28</v>
      </c>
      <c r="E1425" s="2" t="s">
        <v>24</v>
      </c>
      <c r="F1425" s="4">
        <v>1643.92</v>
      </c>
    </row>
    <row r="1426" spans="1:6" ht="15" thickBot="1" x14ac:dyDescent="0.35">
      <c r="A1426" s="3" t="s">
        <v>217</v>
      </c>
      <c r="B1426" s="2" t="s">
        <v>19</v>
      </c>
      <c r="C1426" s="2" t="s">
        <v>23</v>
      </c>
      <c r="D1426" s="2" t="s">
        <v>28</v>
      </c>
      <c r="E1426" s="2" t="s">
        <v>10</v>
      </c>
      <c r="F1426" s="4">
        <v>2080.0300000000002</v>
      </c>
    </row>
    <row r="1427" spans="1:6" ht="15" thickBot="1" x14ac:dyDescent="0.35">
      <c r="A1427" s="3" t="s">
        <v>211</v>
      </c>
      <c r="B1427" s="2" t="s">
        <v>7</v>
      </c>
      <c r="C1427" s="2" t="s">
        <v>8</v>
      </c>
      <c r="D1427" s="2" t="s">
        <v>14</v>
      </c>
      <c r="E1427" s="2" t="s">
        <v>24</v>
      </c>
      <c r="F1427" s="4">
        <v>2465.4499999999998</v>
      </c>
    </row>
    <row r="1428" spans="1:6" ht="15" thickBot="1" x14ac:dyDescent="0.35">
      <c r="A1428" s="3" t="s">
        <v>80</v>
      </c>
      <c r="B1428" s="2" t="s">
        <v>17</v>
      </c>
      <c r="C1428" s="2" t="s">
        <v>13</v>
      </c>
      <c r="D1428" s="2" t="s">
        <v>14</v>
      </c>
      <c r="E1428" s="2" t="s">
        <v>24</v>
      </c>
      <c r="F1428" s="4">
        <v>2931.16</v>
      </c>
    </row>
    <row r="1429" spans="1:6" ht="15" thickBot="1" x14ac:dyDescent="0.35">
      <c r="A1429" s="3" t="s">
        <v>117</v>
      </c>
      <c r="B1429" s="2" t="s">
        <v>7</v>
      </c>
      <c r="C1429" s="2" t="s">
        <v>23</v>
      </c>
      <c r="D1429" s="2" t="s">
        <v>28</v>
      </c>
      <c r="E1429" s="2" t="s">
        <v>24</v>
      </c>
      <c r="F1429" s="4">
        <v>1925.79</v>
      </c>
    </row>
    <row r="1430" spans="1:6" ht="15" thickBot="1" x14ac:dyDescent="0.35">
      <c r="A1430" s="3" t="s">
        <v>86</v>
      </c>
      <c r="B1430" s="2" t="s">
        <v>19</v>
      </c>
      <c r="C1430" s="2" t="s">
        <v>8</v>
      </c>
      <c r="D1430" s="2" t="s">
        <v>14</v>
      </c>
      <c r="E1430" s="2" t="s">
        <v>24</v>
      </c>
      <c r="F1430" s="4">
        <v>1331.9</v>
      </c>
    </row>
    <row r="1431" spans="1:6" ht="15" thickBot="1" x14ac:dyDescent="0.35">
      <c r="A1431" s="3" t="s">
        <v>18</v>
      </c>
      <c r="B1431" s="2" t="s">
        <v>19</v>
      </c>
      <c r="C1431" s="2" t="s">
        <v>8</v>
      </c>
      <c r="D1431" s="2" t="s">
        <v>9</v>
      </c>
      <c r="E1431" s="2" t="s">
        <v>15</v>
      </c>
      <c r="F1431" s="4">
        <v>3932.2339569999999</v>
      </c>
    </row>
    <row r="1432" spans="1:6" ht="15" thickBot="1" x14ac:dyDescent="0.35">
      <c r="A1432" s="3" t="s">
        <v>18</v>
      </c>
      <c r="B1432" s="2" t="s">
        <v>19</v>
      </c>
      <c r="C1432" s="2" t="s">
        <v>13</v>
      </c>
      <c r="D1432" s="2" t="s">
        <v>28</v>
      </c>
      <c r="E1432" s="2" t="s">
        <v>24</v>
      </c>
      <c r="F1432" s="4">
        <v>1414.52</v>
      </c>
    </row>
    <row r="1433" spans="1:6" ht="15" thickBot="1" x14ac:dyDescent="0.35">
      <c r="A1433" s="3" t="s">
        <v>36</v>
      </c>
      <c r="B1433" s="2" t="s">
        <v>12</v>
      </c>
      <c r="C1433" s="2" t="s">
        <v>13</v>
      </c>
      <c r="D1433" s="2" t="s">
        <v>9</v>
      </c>
      <c r="E1433" s="2" t="s">
        <v>24</v>
      </c>
      <c r="F1433" s="4">
        <v>3472.6851879999999</v>
      </c>
    </row>
    <row r="1434" spans="1:6" ht="15" thickBot="1" x14ac:dyDescent="0.35">
      <c r="A1434" s="3" t="s">
        <v>180</v>
      </c>
      <c r="B1434" s="2" t="s">
        <v>30</v>
      </c>
      <c r="C1434" s="2" t="s">
        <v>34</v>
      </c>
      <c r="D1434" s="2" t="s">
        <v>28</v>
      </c>
      <c r="E1434" s="2" t="s">
        <v>24</v>
      </c>
      <c r="F1434" s="4">
        <v>1357.85</v>
      </c>
    </row>
    <row r="1435" spans="1:6" ht="15" thickBot="1" x14ac:dyDescent="0.35">
      <c r="A1435" s="3" t="s">
        <v>114</v>
      </c>
      <c r="B1435" s="2" t="s">
        <v>30</v>
      </c>
      <c r="C1435" s="2" t="s">
        <v>8</v>
      </c>
      <c r="D1435" s="2" t="s">
        <v>28</v>
      </c>
      <c r="E1435" s="2" t="s">
        <v>10</v>
      </c>
      <c r="F1435" s="4">
        <v>347.5</v>
      </c>
    </row>
    <row r="1436" spans="1:6" ht="15" thickBot="1" x14ac:dyDescent="0.35">
      <c r="A1436" s="3" t="s">
        <v>214</v>
      </c>
      <c r="B1436" s="2" t="s">
        <v>30</v>
      </c>
      <c r="C1436" s="2" t="s">
        <v>13</v>
      </c>
      <c r="D1436" s="2" t="s">
        <v>9</v>
      </c>
      <c r="E1436" s="2" t="s">
        <v>24</v>
      </c>
      <c r="F1436" s="4">
        <v>4534.231914</v>
      </c>
    </row>
    <row r="1437" spans="1:6" ht="15" thickBot="1" x14ac:dyDescent="0.35">
      <c r="A1437" s="3" t="s">
        <v>173</v>
      </c>
      <c r="B1437" s="2" t="s">
        <v>30</v>
      </c>
      <c r="C1437" s="2" t="s">
        <v>34</v>
      </c>
      <c r="D1437" s="2" t="s">
        <v>14</v>
      </c>
      <c r="E1437" s="2" t="s">
        <v>10</v>
      </c>
      <c r="F1437" s="4">
        <v>3600.52</v>
      </c>
    </row>
    <row r="1438" spans="1:6" ht="15" thickBot="1" x14ac:dyDescent="0.35">
      <c r="A1438" s="3" t="s">
        <v>192</v>
      </c>
      <c r="B1438" s="2" t="s">
        <v>19</v>
      </c>
      <c r="C1438" s="2" t="s">
        <v>34</v>
      </c>
      <c r="D1438" s="2" t="s">
        <v>28</v>
      </c>
      <c r="E1438" s="2" t="s">
        <v>24</v>
      </c>
      <c r="F1438" s="4">
        <v>4875.1000000000004</v>
      </c>
    </row>
    <row r="1439" spans="1:6" ht="15" thickBot="1" x14ac:dyDescent="0.35">
      <c r="A1439" s="3" t="s">
        <v>104</v>
      </c>
      <c r="B1439" s="2" t="s">
        <v>17</v>
      </c>
      <c r="C1439" s="2" t="s">
        <v>8</v>
      </c>
      <c r="D1439" s="2" t="s">
        <v>9</v>
      </c>
      <c r="E1439" s="2" t="s">
        <v>10</v>
      </c>
      <c r="F1439" s="4">
        <v>1708.84</v>
      </c>
    </row>
    <row r="1440" spans="1:6" ht="15" thickBot="1" x14ac:dyDescent="0.35">
      <c r="A1440" s="3" t="s">
        <v>132</v>
      </c>
      <c r="B1440" s="2" t="s">
        <v>19</v>
      </c>
      <c r="C1440" s="2" t="s">
        <v>34</v>
      </c>
      <c r="D1440" s="2" t="s">
        <v>28</v>
      </c>
      <c r="E1440" s="2" t="s">
        <v>10</v>
      </c>
      <c r="F1440" s="4">
        <v>126.6</v>
      </c>
    </row>
    <row r="1441" spans="1:6" ht="15" thickBot="1" x14ac:dyDescent="0.35">
      <c r="A1441" s="3" t="s">
        <v>64</v>
      </c>
      <c r="B1441" s="2" t="s">
        <v>30</v>
      </c>
      <c r="C1441" s="2" t="s">
        <v>23</v>
      </c>
      <c r="D1441" s="2" t="s">
        <v>28</v>
      </c>
      <c r="E1441" s="2" t="s">
        <v>24</v>
      </c>
      <c r="F1441" s="4">
        <v>1749.03</v>
      </c>
    </row>
    <row r="1442" spans="1:6" ht="15" thickBot="1" x14ac:dyDescent="0.35">
      <c r="A1442" s="3" t="s">
        <v>61</v>
      </c>
      <c r="B1442" s="2" t="s">
        <v>30</v>
      </c>
      <c r="C1442" s="2" t="s">
        <v>8</v>
      </c>
      <c r="D1442" s="2" t="s">
        <v>9</v>
      </c>
      <c r="E1442" s="2" t="s">
        <v>24</v>
      </c>
      <c r="F1442" s="4">
        <v>2617.5188039999998</v>
      </c>
    </row>
    <row r="1443" spans="1:6" ht="15" thickBot="1" x14ac:dyDescent="0.35">
      <c r="A1443" s="3" t="s">
        <v>78</v>
      </c>
      <c r="B1443" s="2" t="s">
        <v>7</v>
      </c>
      <c r="C1443" s="2" t="s">
        <v>13</v>
      </c>
      <c r="D1443" s="2" t="s">
        <v>9</v>
      </c>
      <c r="E1443" s="2" t="s">
        <v>10</v>
      </c>
      <c r="F1443" s="4">
        <v>351.56</v>
      </c>
    </row>
    <row r="1444" spans="1:6" ht="15" thickBot="1" x14ac:dyDescent="0.35">
      <c r="A1444" s="3" t="s">
        <v>196</v>
      </c>
      <c r="B1444" s="2" t="s">
        <v>30</v>
      </c>
      <c r="C1444" s="2" t="s">
        <v>34</v>
      </c>
      <c r="D1444" s="2" t="s">
        <v>28</v>
      </c>
      <c r="E1444" s="2" t="s">
        <v>10</v>
      </c>
      <c r="F1444" s="4">
        <v>1743.41</v>
      </c>
    </row>
    <row r="1445" spans="1:6" ht="15" thickBot="1" x14ac:dyDescent="0.35">
      <c r="A1445" s="3" t="s">
        <v>68</v>
      </c>
      <c r="B1445" s="2" t="s">
        <v>12</v>
      </c>
      <c r="C1445" s="2" t="s">
        <v>34</v>
      </c>
      <c r="D1445" s="2" t="s">
        <v>9</v>
      </c>
      <c r="E1445" s="2" t="s">
        <v>24</v>
      </c>
      <c r="F1445" s="4">
        <v>4857.8723879999998</v>
      </c>
    </row>
    <row r="1446" spans="1:6" ht="15" thickBot="1" x14ac:dyDescent="0.35">
      <c r="A1446" s="3" t="s">
        <v>184</v>
      </c>
      <c r="B1446" s="2" t="s">
        <v>30</v>
      </c>
      <c r="C1446" s="2" t="s">
        <v>34</v>
      </c>
      <c r="D1446" s="2" t="s">
        <v>14</v>
      </c>
      <c r="E1446" s="2" t="s">
        <v>24</v>
      </c>
      <c r="F1446" s="4">
        <v>2816.93</v>
      </c>
    </row>
    <row r="1447" spans="1:6" ht="15" thickBot="1" x14ac:dyDescent="0.35">
      <c r="A1447" s="3" t="s">
        <v>48</v>
      </c>
      <c r="B1447" s="2" t="s">
        <v>19</v>
      </c>
      <c r="C1447" s="2" t="s">
        <v>13</v>
      </c>
      <c r="D1447" s="2" t="s">
        <v>14</v>
      </c>
      <c r="E1447" s="2" t="s">
        <v>15</v>
      </c>
      <c r="F1447" s="4">
        <v>2641.98</v>
      </c>
    </row>
    <row r="1448" spans="1:6" ht="15" thickBot="1" x14ac:dyDescent="0.35">
      <c r="A1448" s="3" t="s">
        <v>127</v>
      </c>
      <c r="B1448" s="2" t="s">
        <v>17</v>
      </c>
      <c r="C1448" s="2" t="s">
        <v>34</v>
      </c>
      <c r="D1448" s="2" t="s">
        <v>14</v>
      </c>
      <c r="E1448" s="2" t="s">
        <v>15</v>
      </c>
      <c r="F1448" s="4">
        <v>2924.31</v>
      </c>
    </row>
    <row r="1449" spans="1:6" ht="15" thickBot="1" x14ac:dyDescent="0.35">
      <c r="A1449" s="3" t="s">
        <v>112</v>
      </c>
      <c r="B1449" s="2" t="s">
        <v>30</v>
      </c>
      <c r="C1449" s="2" t="s">
        <v>13</v>
      </c>
      <c r="D1449" s="2" t="s">
        <v>9</v>
      </c>
      <c r="E1449" s="2" t="s">
        <v>15</v>
      </c>
      <c r="F1449" s="4">
        <v>2885.090361</v>
      </c>
    </row>
    <row r="1450" spans="1:6" ht="15" thickBot="1" x14ac:dyDescent="0.35">
      <c r="A1450" s="3" t="s">
        <v>215</v>
      </c>
      <c r="B1450" s="2" t="s">
        <v>17</v>
      </c>
      <c r="C1450" s="2" t="s">
        <v>34</v>
      </c>
      <c r="D1450" s="2" t="s">
        <v>28</v>
      </c>
      <c r="E1450" s="2" t="s">
        <v>24</v>
      </c>
      <c r="F1450" s="4">
        <v>4563.34</v>
      </c>
    </row>
    <row r="1451" spans="1:6" ht="15" thickBot="1" x14ac:dyDescent="0.35">
      <c r="A1451" s="3" t="s">
        <v>61</v>
      </c>
      <c r="B1451" s="2" t="s">
        <v>30</v>
      </c>
      <c r="C1451" s="2" t="s">
        <v>8</v>
      </c>
      <c r="D1451" s="2" t="s">
        <v>14</v>
      </c>
      <c r="E1451" s="2" t="s">
        <v>15</v>
      </c>
      <c r="F1451" s="4">
        <v>3703.75</v>
      </c>
    </row>
    <row r="1452" spans="1:6" ht="15" thickBot="1" x14ac:dyDescent="0.35">
      <c r="A1452" s="3" t="s">
        <v>152</v>
      </c>
      <c r="B1452" s="2" t="s">
        <v>30</v>
      </c>
      <c r="C1452" s="2" t="s">
        <v>13</v>
      </c>
      <c r="D1452" s="2" t="s">
        <v>28</v>
      </c>
      <c r="E1452" s="2" t="s">
        <v>10</v>
      </c>
      <c r="F1452" s="4">
        <v>3328.72</v>
      </c>
    </row>
    <row r="1453" spans="1:6" ht="15" thickBot="1" x14ac:dyDescent="0.35">
      <c r="A1453" s="3" t="s">
        <v>156</v>
      </c>
      <c r="B1453" s="2" t="s">
        <v>17</v>
      </c>
      <c r="C1453" s="2" t="s">
        <v>23</v>
      </c>
      <c r="D1453" s="2" t="s">
        <v>28</v>
      </c>
      <c r="E1453" s="2" t="s">
        <v>10</v>
      </c>
      <c r="F1453" s="4">
        <v>4650.1400000000003</v>
      </c>
    </row>
    <row r="1454" spans="1:6" ht="15" thickBot="1" x14ac:dyDescent="0.35">
      <c r="A1454" s="3" t="s">
        <v>18</v>
      </c>
      <c r="B1454" s="2" t="s">
        <v>19</v>
      </c>
      <c r="C1454" s="2" t="s">
        <v>8</v>
      </c>
      <c r="D1454" s="2" t="s">
        <v>9</v>
      </c>
      <c r="E1454" s="2" t="s">
        <v>10</v>
      </c>
      <c r="F1454" s="4">
        <v>1410.901711</v>
      </c>
    </row>
    <row r="1455" spans="1:6" ht="15" thickBot="1" x14ac:dyDescent="0.35">
      <c r="A1455" s="3" t="s">
        <v>82</v>
      </c>
      <c r="B1455" s="2" t="s">
        <v>17</v>
      </c>
      <c r="C1455" s="2" t="s">
        <v>13</v>
      </c>
      <c r="D1455" s="2" t="s">
        <v>14</v>
      </c>
      <c r="E1455" s="2" t="s">
        <v>10</v>
      </c>
      <c r="F1455" s="4">
        <v>802.15</v>
      </c>
    </row>
    <row r="1456" spans="1:6" ht="15" thickBot="1" x14ac:dyDescent="0.35">
      <c r="A1456" s="3" t="s">
        <v>219</v>
      </c>
      <c r="B1456" s="2" t="s">
        <v>12</v>
      </c>
      <c r="C1456" s="2" t="s">
        <v>34</v>
      </c>
      <c r="D1456" s="2" t="s">
        <v>14</v>
      </c>
      <c r="E1456" s="2" t="s">
        <v>15</v>
      </c>
      <c r="F1456" s="4">
        <v>3338.5</v>
      </c>
    </row>
    <row r="1457" spans="1:6" ht="15" thickBot="1" x14ac:dyDescent="0.35">
      <c r="A1457" s="3" t="s">
        <v>152</v>
      </c>
      <c r="B1457" s="2" t="s">
        <v>30</v>
      </c>
      <c r="C1457" s="2" t="s">
        <v>23</v>
      </c>
      <c r="D1457" s="2" t="s">
        <v>28</v>
      </c>
      <c r="E1457" s="2" t="s">
        <v>24</v>
      </c>
      <c r="F1457" s="4">
        <v>1108.8800000000001</v>
      </c>
    </row>
    <row r="1458" spans="1:6" ht="15" thickBot="1" x14ac:dyDescent="0.35">
      <c r="A1458" s="3" t="s">
        <v>191</v>
      </c>
      <c r="B1458" s="2" t="s">
        <v>12</v>
      </c>
      <c r="C1458" s="2" t="s">
        <v>13</v>
      </c>
      <c r="D1458" s="2" t="s">
        <v>14</v>
      </c>
      <c r="E1458" s="2" t="s">
        <v>24</v>
      </c>
      <c r="F1458" s="4">
        <v>350.22</v>
      </c>
    </row>
    <row r="1459" spans="1:6" ht="15" thickBot="1" x14ac:dyDescent="0.35">
      <c r="A1459" s="3" t="s">
        <v>186</v>
      </c>
      <c r="B1459" s="2" t="s">
        <v>30</v>
      </c>
      <c r="C1459" s="2" t="s">
        <v>13</v>
      </c>
      <c r="D1459" s="2" t="s">
        <v>14</v>
      </c>
      <c r="E1459" s="2" t="s">
        <v>15</v>
      </c>
      <c r="F1459" s="4">
        <v>1884.68</v>
      </c>
    </row>
    <row r="1460" spans="1:6" ht="15" thickBot="1" x14ac:dyDescent="0.35">
      <c r="A1460" s="3" t="s">
        <v>168</v>
      </c>
      <c r="B1460" s="2" t="s">
        <v>17</v>
      </c>
      <c r="C1460" s="2" t="s">
        <v>13</v>
      </c>
      <c r="D1460" s="2" t="s">
        <v>9</v>
      </c>
      <c r="E1460" s="2" t="s">
        <v>10</v>
      </c>
      <c r="F1460" s="4">
        <v>2634.7603020000001</v>
      </c>
    </row>
    <row r="1461" spans="1:6" ht="15" thickBot="1" x14ac:dyDescent="0.35">
      <c r="A1461" s="3" t="s">
        <v>175</v>
      </c>
      <c r="B1461" s="2" t="s">
        <v>7</v>
      </c>
      <c r="C1461" s="2" t="s">
        <v>13</v>
      </c>
      <c r="D1461" s="2" t="s">
        <v>14</v>
      </c>
      <c r="E1461" s="2" t="s">
        <v>10</v>
      </c>
      <c r="F1461" s="4">
        <v>1677.52</v>
      </c>
    </row>
    <row r="1462" spans="1:6" ht="15" thickBot="1" x14ac:dyDescent="0.35">
      <c r="A1462" s="3" t="s">
        <v>83</v>
      </c>
      <c r="B1462" s="2" t="s">
        <v>17</v>
      </c>
      <c r="C1462" s="2" t="s">
        <v>8</v>
      </c>
      <c r="D1462" s="2" t="s">
        <v>28</v>
      </c>
      <c r="E1462" s="2" t="s">
        <v>10</v>
      </c>
      <c r="F1462" s="4">
        <v>2395.0100000000002</v>
      </c>
    </row>
    <row r="1463" spans="1:6" ht="15" thickBot="1" x14ac:dyDescent="0.35">
      <c r="A1463" s="3" t="s">
        <v>146</v>
      </c>
      <c r="B1463" s="2" t="s">
        <v>7</v>
      </c>
      <c r="C1463" s="2" t="s">
        <v>23</v>
      </c>
      <c r="D1463" s="2" t="s">
        <v>9</v>
      </c>
      <c r="E1463" s="2" t="s">
        <v>15</v>
      </c>
      <c r="F1463" s="4">
        <v>2603.0123579999999</v>
      </c>
    </row>
    <row r="1464" spans="1:6" ht="15" thickBot="1" x14ac:dyDescent="0.35">
      <c r="A1464" s="3" t="s">
        <v>95</v>
      </c>
      <c r="B1464" s="2" t="s">
        <v>30</v>
      </c>
      <c r="C1464" s="2" t="s">
        <v>13</v>
      </c>
      <c r="D1464" s="2" t="s">
        <v>9</v>
      </c>
      <c r="E1464" s="2" t="s">
        <v>15</v>
      </c>
      <c r="F1464" s="4">
        <v>1656.443522</v>
      </c>
    </row>
    <row r="1465" spans="1:6" ht="15" thickBot="1" x14ac:dyDescent="0.35">
      <c r="A1465" s="3" t="s">
        <v>106</v>
      </c>
      <c r="B1465" s="2" t="s">
        <v>12</v>
      </c>
      <c r="C1465" s="2" t="s">
        <v>23</v>
      </c>
      <c r="D1465" s="2" t="s">
        <v>9</v>
      </c>
      <c r="E1465" s="2" t="s">
        <v>10</v>
      </c>
      <c r="F1465" s="4">
        <v>274.58999999999997</v>
      </c>
    </row>
    <row r="1466" spans="1:6" ht="15" thickBot="1" x14ac:dyDescent="0.35">
      <c r="A1466" s="3" t="s">
        <v>155</v>
      </c>
      <c r="B1466" s="2" t="s">
        <v>7</v>
      </c>
      <c r="C1466" s="2" t="s">
        <v>8</v>
      </c>
      <c r="D1466" s="2" t="s">
        <v>9</v>
      </c>
      <c r="E1466" s="2" t="s">
        <v>10</v>
      </c>
      <c r="F1466" s="4">
        <v>1298.2818199999999</v>
      </c>
    </row>
    <row r="1467" spans="1:6" ht="15" thickBot="1" x14ac:dyDescent="0.35">
      <c r="A1467" s="3" t="s">
        <v>136</v>
      </c>
      <c r="B1467" s="2" t="s">
        <v>17</v>
      </c>
      <c r="C1467" s="2" t="s">
        <v>34</v>
      </c>
      <c r="D1467" s="2" t="s">
        <v>28</v>
      </c>
      <c r="E1467" s="2" t="s">
        <v>15</v>
      </c>
      <c r="F1467" s="4">
        <v>814.66</v>
      </c>
    </row>
    <row r="1468" spans="1:6" ht="15" thickBot="1" x14ac:dyDescent="0.35">
      <c r="A1468" s="3" t="s">
        <v>22</v>
      </c>
      <c r="B1468" s="2" t="s">
        <v>12</v>
      </c>
      <c r="C1468" s="2" t="s">
        <v>23</v>
      </c>
      <c r="D1468" s="2" t="s">
        <v>14</v>
      </c>
      <c r="E1468" s="2" t="s">
        <v>10</v>
      </c>
      <c r="F1468" s="4">
        <v>4037.11</v>
      </c>
    </row>
    <row r="1469" spans="1:6" ht="15" thickBot="1" x14ac:dyDescent="0.35">
      <c r="A1469" s="3" t="s">
        <v>130</v>
      </c>
      <c r="B1469" s="2" t="s">
        <v>12</v>
      </c>
      <c r="C1469" s="2" t="s">
        <v>23</v>
      </c>
      <c r="D1469" s="2" t="s">
        <v>9</v>
      </c>
      <c r="E1469" s="2" t="s">
        <v>15</v>
      </c>
      <c r="F1469" s="4">
        <v>1604.8106110000001</v>
      </c>
    </row>
    <row r="1470" spans="1:6" ht="15" thickBot="1" x14ac:dyDescent="0.35">
      <c r="A1470" s="3" t="s">
        <v>57</v>
      </c>
      <c r="B1470" s="2" t="s">
        <v>19</v>
      </c>
      <c r="C1470" s="2" t="s">
        <v>23</v>
      </c>
      <c r="D1470" s="2" t="s">
        <v>14</v>
      </c>
      <c r="E1470" s="2" t="s">
        <v>24</v>
      </c>
      <c r="F1470" s="4">
        <v>2667.56</v>
      </c>
    </row>
    <row r="1471" spans="1:6" ht="15" thickBot="1" x14ac:dyDescent="0.35">
      <c r="A1471" s="3" t="s">
        <v>55</v>
      </c>
      <c r="B1471" s="2" t="s">
        <v>12</v>
      </c>
      <c r="C1471" s="2" t="s">
        <v>13</v>
      </c>
      <c r="D1471" s="2" t="s">
        <v>14</v>
      </c>
      <c r="E1471" s="2" t="s">
        <v>10</v>
      </c>
      <c r="F1471" s="4">
        <v>1194.52</v>
      </c>
    </row>
    <row r="1472" spans="1:6" ht="15" thickBot="1" x14ac:dyDescent="0.35">
      <c r="A1472" s="3" t="s">
        <v>193</v>
      </c>
      <c r="B1472" s="2" t="s">
        <v>12</v>
      </c>
      <c r="C1472" s="2" t="s">
        <v>8</v>
      </c>
      <c r="D1472" s="2" t="s">
        <v>28</v>
      </c>
      <c r="E1472" s="2" t="s">
        <v>10</v>
      </c>
      <c r="F1472" s="4">
        <v>4059.51</v>
      </c>
    </row>
    <row r="1473" spans="1:6" ht="15" thickBot="1" x14ac:dyDescent="0.35">
      <c r="A1473" s="3" t="s">
        <v>186</v>
      </c>
      <c r="B1473" s="2" t="s">
        <v>30</v>
      </c>
      <c r="C1473" s="2" t="s">
        <v>23</v>
      </c>
      <c r="D1473" s="2" t="s">
        <v>14</v>
      </c>
      <c r="E1473" s="2" t="s">
        <v>15</v>
      </c>
      <c r="F1473" s="4">
        <v>1051.4000000000001</v>
      </c>
    </row>
    <row r="1474" spans="1:6" ht="15" thickBot="1" x14ac:dyDescent="0.35">
      <c r="A1474" s="3" t="s">
        <v>68</v>
      </c>
      <c r="B1474" s="2" t="s">
        <v>12</v>
      </c>
      <c r="C1474" s="2" t="s">
        <v>13</v>
      </c>
      <c r="D1474" s="2" t="s">
        <v>9</v>
      </c>
      <c r="E1474" s="2" t="s">
        <v>24</v>
      </c>
      <c r="F1474" s="4">
        <v>1810.544091</v>
      </c>
    </row>
    <row r="1475" spans="1:6" ht="15" thickBot="1" x14ac:dyDescent="0.35">
      <c r="A1475" s="3" t="s">
        <v>18</v>
      </c>
      <c r="B1475" s="2" t="s">
        <v>19</v>
      </c>
      <c r="C1475" s="2" t="s">
        <v>34</v>
      </c>
      <c r="D1475" s="2" t="s">
        <v>14</v>
      </c>
      <c r="E1475" s="2" t="s">
        <v>24</v>
      </c>
      <c r="F1475" s="4">
        <v>2916.42</v>
      </c>
    </row>
    <row r="1476" spans="1:6" ht="15" thickBot="1" x14ac:dyDescent="0.35">
      <c r="A1476" s="3" t="s">
        <v>51</v>
      </c>
      <c r="B1476" s="2" t="s">
        <v>30</v>
      </c>
      <c r="C1476" s="2" t="s">
        <v>34</v>
      </c>
      <c r="D1476" s="2" t="s">
        <v>28</v>
      </c>
      <c r="E1476" s="2" t="s">
        <v>15</v>
      </c>
      <c r="F1476" s="4">
        <v>3852.61</v>
      </c>
    </row>
    <row r="1477" spans="1:6" ht="15" thickBot="1" x14ac:dyDescent="0.35">
      <c r="A1477" s="3" t="s">
        <v>164</v>
      </c>
      <c r="B1477" s="2" t="s">
        <v>19</v>
      </c>
      <c r="C1477" s="2" t="s">
        <v>34</v>
      </c>
      <c r="D1477" s="2" t="s">
        <v>28</v>
      </c>
      <c r="E1477" s="2" t="s">
        <v>10</v>
      </c>
      <c r="F1477" s="4">
        <v>4795.1400000000003</v>
      </c>
    </row>
    <row r="1478" spans="1:6" ht="15" thickBot="1" x14ac:dyDescent="0.35">
      <c r="A1478" s="3" t="s">
        <v>193</v>
      </c>
      <c r="B1478" s="2" t="s">
        <v>12</v>
      </c>
      <c r="C1478" s="2" t="s">
        <v>23</v>
      </c>
      <c r="D1478" s="2" t="s">
        <v>28</v>
      </c>
      <c r="E1478" s="2" t="s">
        <v>15</v>
      </c>
      <c r="F1478" s="4">
        <v>1445.25</v>
      </c>
    </row>
    <row r="1479" spans="1:6" ht="15" thickBot="1" x14ac:dyDescent="0.35">
      <c r="A1479" s="3" t="s">
        <v>93</v>
      </c>
      <c r="B1479" s="2" t="s">
        <v>30</v>
      </c>
      <c r="C1479" s="2" t="s">
        <v>13</v>
      </c>
      <c r="D1479" s="2" t="s">
        <v>28</v>
      </c>
      <c r="E1479" s="2" t="s">
        <v>15</v>
      </c>
      <c r="F1479" s="4">
        <v>869.01</v>
      </c>
    </row>
    <row r="1480" spans="1:6" ht="15" thickBot="1" x14ac:dyDescent="0.35">
      <c r="A1480" s="3" t="s">
        <v>203</v>
      </c>
      <c r="B1480" s="2" t="s">
        <v>12</v>
      </c>
      <c r="C1480" s="2" t="s">
        <v>23</v>
      </c>
      <c r="D1480" s="2" t="s">
        <v>28</v>
      </c>
      <c r="E1480" s="2" t="s">
        <v>15</v>
      </c>
      <c r="F1480" s="4">
        <v>4077.29</v>
      </c>
    </row>
    <row r="1481" spans="1:6" ht="15" thickBot="1" x14ac:dyDescent="0.35">
      <c r="A1481" s="3" t="s">
        <v>120</v>
      </c>
      <c r="B1481" s="2" t="s">
        <v>30</v>
      </c>
      <c r="C1481" s="2" t="s">
        <v>8</v>
      </c>
      <c r="D1481" s="2" t="s">
        <v>14</v>
      </c>
      <c r="E1481" s="2" t="s">
        <v>10</v>
      </c>
      <c r="F1481" s="4">
        <v>2770.18</v>
      </c>
    </row>
    <row r="1482" spans="1:6" ht="15" thickBot="1" x14ac:dyDescent="0.35">
      <c r="A1482" s="3" t="s">
        <v>141</v>
      </c>
      <c r="B1482" s="2" t="s">
        <v>7</v>
      </c>
      <c r="C1482" s="2" t="s">
        <v>34</v>
      </c>
      <c r="D1482" s="2" t="s">
        <v>9</v>
      </c>
      <c r="E1482" s="2" t="s">
        <v>10</v>
      </c>
      <c r="F1482" s="4">
        <v>2004.6969160000001</v>
      </c>
    </row>
    <row r="1483" spans="1:6" ht="15" thickBot="1" x14ac:dyDescent="0.35">
      <c r="A1483" s="3" t="s">
        <v>193</v>
      </c>
      <c r="B1483" s="2" t="s">
        <v>12</v>
      </c>
      <c r="C1483" s="2" t="s">
        <v>34</v>
      </c>
      <c r="D1483" s="2" t="s">
        <v>28</v>
      </c>
      <c r="E1483" s="2" t="s">
        <v>15</v>
      </c>
      <c r="F1483" s="4">
        <v>4717.47</v>
      </c>
    </row>
    <row r="1484" spans="1:6" ht="15" thickBot="1" x14ac:dyDescent="0.35">
      <c r="A1484" s="3" t="s">
        <v>115</v>
      </c>
      <c r="B1484" s="2" t="s">
        <v>19</v>
      </c>
      <c r="C1484" s="2" t="s">
        <v>13</v>
      </c>
      <c r="D1484" s="2" t="s">
        <v>9</v>
      </c>
      <c r="E1484" s="2" t="s">
        <v>10</v>
      </c>
      <c r="F1484" s="4">
        <v>1392.4758690000001</v>
      </c>
    </row>
    <row r="1485" spans="1:6" ht="15" thickBot="1" x14ac:dyDescent="0.35">
      <c r="A1485" s="3" t="s">
        <v>148</v>
      </c>
      <c r="B1485" s="2" t="s">
        <v>17</v>
      </c>
      <c r="C1485" s="2" t="s">
        <v>23</v>
      </c>
      <c r="D1485" s="2" t="s">
        <v>9</v>
      </c>
      <c r="E1485" s="2" t="s">
        <v>15</v>
      </c>
      <c r="F1485" s="4">
        <v>2563.3257619999999</v>
      </c>
    </row>
    <row r="1486" spans="1:6" ht="15" thickBot="1" x14ac:dyDescent="0.35">
      <c r="A1486" s="3" t="s">
        <v>130</v>
      </c>
      <c r="B1486" s="2" t="s">
        <v>12</v>
      </c>
      <c r="C1486" s="2" t="s">
        <v>34</v>
      </c>
      <c r="D1486" s="2" t="s">
        <v>9</v>
      </c>
      <c r="E1486" s="2" t="s">
        <v>15</v>
      </c>
      <c r="F1486" s="4">
        <v>503.85614070000003</v>
      </c>
    </row>
    <row r="1487" spans="1:6" ht="15" thickBot="1" x14ac:dyDescent="0.35">
      <c r="A1487" s="3" t="s">
        <v>164</v>
      </c>
      <c r="B1487" s="2" t="s">
        <v>19</v>
      </c>
      <c r="C1487" s="2" t="s">
        <v>8</v>
      </c>
      <c r="D1487" s="2" t="s">
        <v>28</v>
      </c>
      <c r="E1487" s="2" t="s">
        <v>24</v>
      </c>
      <c r="F1487" s="4">
        <v>897.2</v>
      </c>
    </row>
    <row r="1488" spans="1:6" ht="15" thickBot="1" x14ac:dyDescent="0.35">
      <c r="A1488" s="3" t="s">
        <v>152</v>
      </c>
      <c r="B1488" s="2" t="s">
        <v>30</v>
      </c>
      <c r="C1488" s="2" t="s">
        <v>23</v>
      </c>
      <c r="D1488" s="2" t="s">
        <v>14</v>
      </c>
      <c r="E1488" s="2" t="s">
        <v>15</v>
      </c>
      <c r="F1488" s="4">
        <v>2988.56</v>
      </c>
    </row>
    <row r="1489" spans="1:6" ht="15" thickBot="1" x14ac:dyDescent="0.35">
      <c r="A1489" s="3" t="s">
        <v>86</v>
      </c>
      <c r="B1489" s="2" t="s">
        <v>19</v>
      </c>
      <c r="C1489" s="2" t="s">
        <v>34</v>
      </c>
      <c r="D1489" s="2" t="s">
        <v>9</v>
      </c>
      <c r="E1489" s="2" t="s">
        <v>15</v>
      </c>
      <c r="F1489" s="4">
        <v>1067.2256460000001</v>
      </c>
    </row>
    <row r="1490" spans="1:6" ht="15" thickBot="1" x14ac:dyDescent="0.35">
      <c r="A1490" s="3" t="s">
        <v>127</v>
      </c>
      <c r="B1490" s="2" t="s">
        <v>17</v>
      </c>
      <c r="C1490" s="2" t="s">
        <v>34</v>
      </c>
      <c r="D1490" s="2" t="s">
        <v>9</v>
      </c>
      <c r="E1490" s="2" t="s">
        <v>10</v>
      </c>
      <c r="F1490" s="4">
        <v>2128.8839579999999</v>
      </c>
    </row>
    <row r="1491" spans="1:6" ht="15" thickBot="1" x14ac:dyDescent="0.35">
      <c r="A1491" s="3" t="s">
        <v>143</v>
      </c>
      <c r="B1491" s="2" t="s">
        <v>17</v>
      </c>
      <c r="C1491" s="2" t="s">
        <v>13</v>
      </c>
      <c r="D1491" s="2" t="s">
        <v>28</v>
      </c>
      <c r="E1491" s="2" t="s">
        <v>15</v>
      </c>
      <c r="F1491" s="4">
        <v>569.36</v>
      </c>
    </row>
    <row r="1492" spans="1:6" ht="15" thickBot="1" x14ac:dyDescent="0.35">
      <c r="A1492" s="3" t="s">
        <v>165</v>
      </c>
      <c r="B1492" s="2" t="s">
        <v>7</v>
      </c>
      <c r="C1492" s="2" t="s">
        <v>8</v>
      </c>
      <c r="D1492" s="2" t="s">
        <v>14</v>
      </c>
      <c r="E1492" s="2" t="s">
        <v>15</v>
      </c>
      <c r="F1492" s="4">
        <v>2763.46</v>
      </c>
    </row>
    <row r="1493" spans="1:6" ht="15" thickBot="1" x14ac:dyDescent="0.35">
      <c r="A1493" s="3" t="s">
        <v>58</v>
      </c>
      <c r="B1493" s="2" t="s">
        <v>17</v>
      </c>
      <c r="C1493" s="2" t="s">
        <v>13</v>
      </c>
      <c r="D1493" s="2" t="s">
        <v>9</v>
      </c>
      <c r="E1493" s="2" t="s">
        <v>10</v>
      </c>
      <c r="F1493" s="4">
        <v>889.01334210000005</v>
      </c>
    </row>
    <row r="1494" spans="1:6" ht="15" thickBot="1" x14ac:dyDescent="0.35">
      <c r="A1494" s="3" t="s">
        <v>138</v>
      </c>
      <c r="B1494" s="2" t="s">
        <v>12</v>
      </c>
      <c r="C1494" s="2" t="s">
        <v>34</v>
      </c>
      <c r="D1494" s="2" t="s">
        <v>9</v>
      </c>
      <c r="E1494" s="2" t="s">
        <v>24</v>
      </c>
      <c r="F1494" s="4">
        <v>565.20370019999996</v>
      </c>
    </row>
    <row r="1495" spans="1:6" ht="15" thickBot="1" x14ac:dyDescent="0.35">
      <c r="A1495" s="3" t="s">
        <v>155</v>
      </c>
      <c r="B1495" s="2" t="s">
        <v>7</v>
      </c>
      <c r="C1495" s="2" t="s">
        <v>34</v>
      </c>
      <c r="D1495" s="2" t="s">
        <v>28</v>
      </c>
      <c r="E1495" s="2" t="s">
        <v>15</v>
      </c>
      <c r="F1495" s="4">
        <v>4475.2700000000004</v>
      </c>
    </row>
    <row r="1496" spans="1:6" ht="15" thickBot="1" x14ac:dyDescent="0.35">
      <c r="A1496" s="3" t="s">
        <v>193</v>
      </c>
      <c r="B1496" s="2" t="s">
        <v>12</v>
      </c>
      <c r="C1496" s="2" t="s">
        <v>13</v>
      </c>
      <c r="D1496" s="2" t="s">
        <v>14</v>
      </c>
      <c r="E1496" s="2" t="s">
        <v>10</v>
      </c>
      <c r="F1496" s="4">
        <v>3884.64</v>
      </c>
    </row>
    <row r="1497" spans="1:6" ht="15" thickBot="1" x14ac:dyDescent="0.35">
      <c r="A1497" s="3" t="s">
        <v>155</v>
      </c>
      <c r="B1497" s="2" t="s">
        <v>7</v>
      </c>
      <c r="C1497" s="2" t="s">
        <v>34</v>
      </c>
      <c r="D1497" s="2" t="s">
        <v>9</v>
      </c>
      <c r="E1497" s="2" t="s">
        <v>15</v>
      </c>
      <c r="F1497" s="4">
        <v>1548.146784</v>
      </c>
    </row>
    <row r="1498" spans="1:6" ht="15" thickBot="1" x14ac:dyDescent="0.35">
      <c r="A1498" s="3" t="s">
        <v>218</v>
      </c>
      <c r="B1498" s="2" t="s">
        <v>17</v>
      </c>
      <c r="C1498" s="2" t="s">
        <v>23</v>
      </c>
      <c r="D1498" s="2" t="s">
        <v>14</v>
      </c>
      <c r="E1498" s="2" t="s">
        <v>10</v>
      </c>
      <c r="F1498" s="4">
        <v>1310.02</v>
      </c>
    </row>
    <row r="1499" spans="1:6" ht="15" thickBot="1" x14ac:dyDescent="0.35">
      <c r="A1499" s="3" t="s">
        <v>206</v>
      </c>
      <c r="B1499" s="2" t="s">
        <v>19</v>
      </c>
      <c r="C1499" s="2" t="s">
        <v>13</v>
      </c>
      <c r="D1499" s="2" t="s">
        <v>14</v>
      </c>
      <c r="E1499" s="2" t="s">
        <v>24</v>
      </c>
      <c r="F1499" s="4">
        <v>1833.43</v>
      </c>
    </row>
    <row r="1500" spans="1:6" ht="15" thickBot="1" x14ac:dyDescent="0.35">
      <c r="A1500" s="3" t="s">
        <v>188</v>
      </c>
      <c r="B1500" s="2" t="s">
        <v>19</v>
      </c>
      <c r="C1500" s="2" t="s">
        <v>13</v>
      </c>
      <c r="D1500" s="2" t="s">
        <v>14</v>
      </c>
      <c r="E1500" s="2" t="s">
        <v>15</v>
      </c>
      <c r="F1500" s="4">
        <v>1039.8399999999999</v>
      </c>
    </row>
    <row r="1501" spans="1:6" ht="15" thickBot="1" x14ac:dyDescent="0.35">
      <c r="A1501" s="3" t="s">
        <v>110</v>
      </c>
      <c r="B1501" s="2" t="s">
        <v>12</v>
      </c>
      <c r="C1501" s="2" t="s">
        <v>13</v>
      </c>
      <c r="D1501" s="2" t="s">
        <v>28</v>
      </c>
      <c r="E1501" s="2" t="s">
        <v>15</v>
      </c>
      <c r="F1501" s="4">
        <v>3297.47</v>
      </c>
    </row>
    <row r="1502" spans="1:6" ht="15" thickBot="1" x14ac:dyDescent="0.35">
      <c r="A1502" s="3" t="s">
        <v>56</v>
      </c>
      <c r="B1502" s="2" t="s">
        <v>19</v>
      </c>
      <c r="C1502" s="2" t="s">
        <v>13</v>
      </c>
      <c r="D1502" s="2" t="s">
        <v>14</v>
      </c>
      <c r="E1502" s="2" t="s">
        <v>10</v>
      </c>
      <c r="F1502" s="4">
        <v>3091.2</v>
      </c>
    </row>
    <row r="1503" spans="1:6" ht="15" thickBot="1" x14ac:dyDescent="0.35">
      <c r="A1503" s="3" t="s">
        <v>185</v>
      </c>
      <c r="B1503" s="2" t="s">
        <v>30</v>
      </c>
      <c r="C1503" s="2" t="s">
        <v>34</v>
      </c>
      <c r="D1503" s="2" t="s">
        <v>28</v>
      </c>
      <c r="E1503" s="2" t="s">
        <v>15</v>
      </c>
      <c r="F1503" s="4">
        <v>301.86</v>
      </c>
    </row>
    <row r="1504" spans="1:6" ht="15" thickBot="1" x14ac:dyDescent="0.35">
      <c r="A1504" s="3" t="s">
        <v>178</v>
      </c>
      <c r="B1504" s="2" t="s">
        <v>30</v>
      </c>
      <c r="C1504" s="2" t="s">
        <v>23</v>
      </c>
      <c r="D1504" s="2" t="s">
        <v>14</v>
      </c>
      <c r="E1504" s="2" t="s">
        <v>24</v>
      </c>
      <c r="F1504" s="4">
        <v>4171.41</v>
      </c>
    </row>
    <row r="1505" spans="1:6" ht="15" thickBot="1" x14ac:dyDescent="0.35">
      <c r="A1505" s="3" t="s">
        <v>219</v>
      </c>
      <c r="B1505" s="2" t="s">
        <v>12</v>
      </c>
      <c r="C1505" s="2" t="s">
        <v>34</v>
      </c>
      <c r="D1505" s="2" t="s">
        <v>14</v>
      </c>
      <c r="E1505" s="2" t="s">
        <v>10</v>
      </c>
      <c r="F1505" s="4">
        <v>4337.95</v>
      </c>
    </row>
    <row r="1506" spans="1:6" ht="15" thickBot="1" x14ac:dyDescent="0.35">
      <c r="A1506" s="3" t="s">
        <v>150</v>
      </c>
      <c r="B1506" s="2" t="s">
        <v>30</v>
      </c>
      <c r="C1506" s="2" t="s">
        <v>34</v>
      </c>
      <c r="D1506" s="2" t="s">
        <v>9</v>
      </c>
      <c r="E1506" s="2" t="s">
        <v>24</v>
      </c>
      <c r="F1506" s="4">
        <v>3830.1000909999998</v>
      </c>
    </row>
    <row r="1507" spans="1:6" ht="15" thickBot="1" x14ac:dyDescent="0.35">
      <c r="A1507" s="3" t="s">
        <v>91</v>
      </c>
      <c r="B1507" s="2" t="s">
        <v>30</v>
      </c>
      <c r="C1507" s="2" t="s">
        <v>8</v>
      </c>
      <c r="D1507" s="2" t="s">
        <v>28</v>
      </c>
      <c r="E1507" s="2" t="s">
        <v>24</v>
      </c>
      <c r="F1507" s="4">
        <v>3808.17</v>
      </c>
    </row>
    <row r="1508" spans="1:6" ht="15" thickBot="1" x14ac:dyDescent="0.35">
      <c r="A1508" s="3" t="s">
        <v>20</v>
      </c>
      <c r="B1508" s="2" t="s">
        <v>17</v>
      </c>
      <c r="C1508" s="2" t="s">
        <v>8</v>
      </c>
      <c r="D1508" s="2" t="s">
        <v>14</v>
      </c>
      <c r="E1508" s="2" t="s">
        <v>10</v>
      </c>
      <c r="F1508" s="4">
        <v>3167.4</v>
      </c>
    </row>
    <row r="1509" spans="1:6" ht="15" thickBot="1" x14ac:dyDescent="0.35">
      <c r="A1509" s="3" t="s">
        <v>39</v>
      </c>
      <c r="B1509" s="2" t="s">
        <v>7</v>
      </c>
      <c r="C1509" s="2" t="s">
        <v>13</v>
      </c>
      <c r="D1509" s="2" t="s">
        <v>9</v>
      </c>
      <c r="E1509" s="2" t="s">
        <v>15</v>
      </c>
      <c r="F1509" s="4">
        <v>742.10983380000005</v>
      </c>
    </row>
    <row r="1510" spans="1:6" ht="15" thickBot="1" x14ac:dyDescent="0.35">
      <c r="A1510" s="3" t="s">
        <v>183</v>
      </c>
      <c r="B1510" s="2" t="s">
        <v>7</v>
      </c>
      <c r="C1510" s="2" t="s">
        <v>34</v>
      </c>
      <c r="D1510" s="2" t="s">
        <v>14</v>
      </c>
      <c r="E1510" s="2" t="s">
        <v>15</v>
      </c>
      <c r="F1510" s="4">
        <v>4632.6400000000003</v>
      </c>
    </row>
    <row r="1511" spans="1:6" ht="15" thickBot="1" x14ac:dyDescent="0.35">
      <c r="A1511" s="3" t="s">
        <v>21</v>
      </c>
      <c r="B1511" s="2" t="s">
        <v>19</v>
      </c>
      <c r="C1511" s="2" t="s">
        <v>13</v>
      </c>
      <c r="D1511" s="2" t="s">
        <v>14</v>
      </c>
      <c r="E1511" s="2" t="s">
        <v>10</v>
      </c>
      <c r="F1511" s="4">
        <v>1268.8</v>
      </c>
    </row>
    <row r="1512" spans="1:6" ht="15" thickBot="1" x14ac:dyDescent="0.35">
      <c r="A1512" s="3" t="s">
        <v>150</v>
      </c>
      <c r="B1512" s="2" t="s">
        <v>30</v>
      </c>
      <c r="C1512" s="2" t="s">
        <v>8</v>
      </c>
      <c r="D1512" s="2" t="s">
        <v>28</v>
      </c>
      <c r="E1512" s="2" t="s">
        <v>15</v>
      </c>
      <c r="F1512" s="4">
        <v>3546.58</v>
      </c>
    </row>
    <row r="1513" spans="1:6" ht="15" thickBot="1" x14ac:dyDescent="0.35">
      <c r="A1513" s="3" t="s">
        <v>25</v>
      </c>
      <c r="B1513" s="2" t="s">
        <v>19</v>
      </c>
      <c r="C1513" s="2" t="s">
        <v>23</v>
      </c>
      <c r="D1513" s="2" t="s">
        <v>28</v>
      </c>
      <c r="E1513" s="2" t="s">
        <v>10</v>
      </c>
      <c r="F1513" s="4">
        <v>1609.6</v>
      </c>
    </row>
    <row r="1514" spans="1:6" ht="15" thickBot="1" x14ac:dyDescent="0.35">
      <c r="A1514" s="3" t="s">
        <v>209</v>
      </c>
      <c r="B1514" s="2" t="s">
        <v>7</v>
      </c>
      <c r="C1514" s="2" t="s">
        <v>34</v>
      </c>
      <c r="D1514" s="2" t="s">
        <v>9</v>
      </c>
      <c r="E1514" s="2" t="s">
        <v>15</v>
      </c>
      <c r="F1514" s="4">
        <v>3630.7097180000001</v>
      </c>
    </row>
    <row r="1515" spans="1:6" ht="15" thickBot="1" x14ac:dyDescent="0.35">
      <c r="A1515" s="3" t="s">
        <v>181</v>
      </c>
      <c r="B1515" s="2" t="s">
        <v>30</v>
      </c>
      <c r="C1515" s="2" t="s">
        <v>34</v>
      </c>
      <c r="D1515" s="2" t="s">
        <v>14</v>
      </c>
      <c r="E1515" s="2" t="s">
        <v>10</v>
      </c>
      <c r="F1515" s="4">
        <v>999.48</v>
      </c>
    </row>
    <row r="1516" spans="1:6" ht="15" thickBot="1" x14ac:dyDescent="0.35">
      <c r="A1516" s="3" t="s">
        <v>127</v>
      </c>
      <c r="B1516" s="2" t="s">
        <v>17</v>
      </c>
      <c r="C1516" s="2" t="s">
        <v>13</v>
      </c>
      <c r="D1516" s="2" t="s">
        <v>14</v>
      </c>
      <c r="E1516" s="2" t="s">
        <v>15</v>
      </c>
      <c r="F1516" s="4">
        <v>4553.04</v>
      </c>
    </row>
    <row r="1517" spans="1:6" ht="15" thickBot="1" x14ac:dyDescent="0.35">
      <c r="A1517" s="3" t="s">
        <v>123</v>
      </c>
      <c r="B1517" s="2" t="s">
        <v>30</v>
      </c>
      <c r="C1517" s="2" t="s">
        <v>8</v>
      </c>
      <c r="D1517" s="2" t="s">
        <v>9</v>
      </c>
      <c r="E1517" s="2" t="s">
        <v>24</v>
      </c>
      <c r="F1517" s="4">
        <v>1345.95</v>
      </c>
    </row>
    <row r="1518" spans="1:6" ht="15" thickBot="1" x14ac:dyDescent="0.35">
      <c r="A1518" s="3" t="s">
        <v>89</v>
      </c>
      <c r="B1518" s="2" t="s">
        <v>17</v>
      </c>
      <c r="C1518" s="2" t="s">
        <v>34</v>
      </c>
      <c r="D1518" s="2" t="s">
        <v>28</v>
      </c>
      <c r="E1518" s="2" t="s">
        <v>10</v>
      </c>
      <c r="F1518" s="4">
        <v>1432.5</v>
      </c>
    </row>
    <row r="1519" spans="1:6" ht="15" thickBot="1" x14ac:dyDescent="0.35">
      <c r="A1519" s="3" t="s">
        <v>67</v>
      </c>
      <c r="B1519" s="2" t="s">
        <v>7</v>
      </c>
      <c r="C1519" s="2" t="s">
        <v>34</v>
      </c>
      <c r="D1519" s="2" t="s">
        <v>28</v>
      </c>
      <c r="E1519" s="2" t="s">
        <v>10</v>
      </c>
      <c r="F1519" s="4">
        <v>2537.5</v>
      </c>
    </row>
    <row r="1520" spans="1:6" ht="15" thickBot="1" x14ac:dyDescent="0.35">
      <c r="A1520" s="3" t="s">
        <v>194</v>
      </c>
      <c r="B1520" s="2" t="s">
        <v>17</v>
      </c>
      <c r="C1520" s="2" t="s">
        <v>13</v>
      </c>
      <c r="D1520" s="2" t="s">
        <v>14</v>
      </c>
      <c r="E1520" s="2" t="s">
        <v>10</v>
      </c>
      <c r="F1520" s="4">
        <v>4832.05</v>
      </c>
    </row>
    <row r="1521" spans="1:6" ht="15" thickBot="1" x14ac:dyDescent="0.35">
      <c r="A1521" s="3" t="s">
        <v>180</v>
      </c>
      <c r="B1521" s="2" t="s">
        <v>30</v>
      </c>
      <c r="C1521" s="2" t="s">
        <v>13</v>
      </c>
      <c r="D1521" s="2" t="s">
        <v>14</v>
      </c>
      <c r="E1521" s="2" t="s">
        <v>10</v>
      </c>
      <c r="F1521" s="4">
        <v>3935.58</v>
      </c>
    </row>
    <row r="1522" spans="1:6" ht="15" thickBot="1" x14ac:dyDescent="0.35">
      <c r="A1522" s="3" t="s">
        <v>209</v>
      </c>
      <c r="B1522" s="2" t="s">
        <v>7</v>
      </c>
      <c r="C1522" s="2" t="s">
        <v>13</v>
      </c>
      <c r="D1522" s="2" t="s">
        <v>9</v>
      </c>
      <c r="E1522" s="2" t="s">
        <v>24</v>
      </c>
      <c r="F1522" s="4">
        <v>3258.2856310000002</v>
      </c>
    </row>
    <row r="1523" spans="1:6" ht="15" thickBot="1" x14ac:dyDescent="0.35">
      <c r="A1523" s="3" t="s">
        <v>174</v>
      </c>
      <c r="B1523" s="2" t="s">
        <v>19</v>
      </c>
      <c r="C1523" s="2" t="s">
        <v>34</v>
      </c>
      <c r="D1523" s="2" t="s">
        <v>14</v>
      </c>
      <c r="E1523" s="2" t="s">
        <v>15</v>
      </c>
      <c r="F1523" s="4">
        <v>1512.13</v>
      </c>
    </row>
    <row r="1524" spans="1:6" ht="15" thickBot="1" x14ac:dyDescent="0.35">
      <c r="A1524" s="3" t="s">
        <v>42</v>
      </c>
      <c r="B1524" s="2" t="s">
        <v>30</v>
      </c>
      <c r="C1524" s="2" t="s">
        <v>13</v>
      </c>
      <c r="D1524" s="2" t="s">
        <v>14</v>
      </c>
      <c r="E1524" s="2" t="s">
        <v>10</v>
      </c>
      <c r="F1524" s="4">
        <v>245.71</v>
      </c>
    </row>
    <row r="1525" spans="1:6" ht="15" thickBot="1" x14ac:dyDescent="0.35">
      <c r="A1525" s="3" t="s">
        <v>31</v>
      </c>
      <c r="B1525" s="2" t="s">
        <v>30</v>
      </c>
      <c r="C1525" s="2" t="s">
        <v>8</v>
      </c>
      <c r="D1525" s="2" t="s">
        <v>14</v>
      </c>
      <c r="E1525" s="2" t="s">
        <v>24</v>
      </c>
      <c r="F1525" s="4">
        <v>3387.13</v>
      </c>
    </row>
    <row r="1526" spans="1:6" ht="15" thickBot="1" x14ac:dyDescent="0.35">
      <c r="A1526" s="3" t="s">
        <v>77</v>
      </c>
      <c r="B1526" s="2" t="s">
        <v>30</v>
      </c>
      <c r="C1526" s="2" t="s">
        <v>8</v>
      </c>
      <c r="D1526" s="2" t="s">
        <v>28</v>
      </c>
      <c r="E1526" s="2" t="s">
        <v>15</v>
      </c>
      <c r="F1526" s="4">
        <v>1014.2</v>
      </c>
    </row>
    <row r="1527" spans="1:6" ht="15" thickBot="1" x14ac:dyDescent="0.35">
      <c r="A1527" s="3" t="s">
        <v>89</v>
      </c>
      <c r="B1527" s="2" t="s">
        <v>17</v>
      </c>
      <c r="C1527" s="2" t="s">
        <v>13</v>
      </c>
      <c r="D1527" s="2" t="s">
        <v>28</v>
      </c>
      <c r="E1527" s="2" t="s">
        <v>10</v>
      </c>
      <c r="F1527" s="4">
        <v>269.87</v>
      </c>
    </row>
    <row r="1528" spans="1:6" ht="15" thickBot="1" x14ac:dyDescent="0.35">
      <c r="A1528" s="3" t="s">
        <v>161</v>
      </c>
      <c r="B1528" s="2" t="s">
        <v>7</v>
      </c>
      <c r="C1528" s="2" t="s">
        <v>13</v>
      </c>
      <c r="D1528" s="2" t="s">
        <v>14</v>
      </c>
      <c r="E1528" s="2" t="s">
        <v>10</v>
      </c>
      <c r="F1528" s="4">
        <v>2444.67</v>
      </c>
    </row>
    <row r="1529" spans="1:6" ht="15" thickBot="1" x14ac:dyDescent="0.35">
      <c r="A1529" s="3" t="s">
        <v>51</v>
      </c>
      <c r="B1529" s="2" t="s">
        <v>30</v>
      </c>
      <c r="C1529" s="2" t="s">
        <v>23</v>
      </c>
      <c r="D1529" s="2" t="s">
        <v>14</v>
      </c>
      <c r="E1529" s="2" t="s">
        <v>10</v>
      </c>
      <c r="F1529" s="4">
        <v>1734.64</v>
      </c>
    </row>
    <row r="1530" spans="1:6" ht="15" thickBot="1" x14ac:dyDescent="0.35">
      <c r="A1530" s="3" t="s">
        <v>73</v>
      </c>
      <c r="B1530" s="2" t="s">
        <v>30</v>
      </c>
      <c r="C1530" s="2" t="s">
        <v>34</v>
      </c>
      <c r="D1530" s="2" t="s">
        <v>14</v>
      </c>
      <c r="E1530" s="2" t="s">
        <v>10</v>
      </c>
      <c r="F1530" s="4">
        <v>4948.8500000000004</v>
      </c>
    </row>
    <row r="1531" spans="1:6" ht="15" thickBot="1" x14ac:dyDescent="0.35">
      <c r="A1531" s="3" t="s">
        <v>207</v>
      </c>
      <c r="B1531" s="2" t="s">
        <v>17</v>
      </c>
      <c r="C1531" s="2" t="s">
        <v>8</v>
      </c>
      <c r="D1531" s="2" t="s">
        <v>9</v>
      </c>
      <c r="E1531" s="2" t="s">
        <v>15</v>
      </c>
      <c r="F1531" s="4">
        <v>2924.7805619999999</v>
      </c>
    </row>
    <row r="1532" spans="1:6" ht="15" thickBot="1" x14ac:dyDescent="0.35">
      <c r="A1532" s="3" t="s">
        <v>147</v>
      </c>
      <c r="B1532" s="2" t="s">
        <v>17</v>
      </c>
      <c r="C1532" s="2" t="s">
        <v>8</v>
      </c>
      <c r="D1532" s="2" t="s">
        <v>14</v>
      </c>
      <c r="E1532" s="2" t="s">
        <v>10</v>
      </c>
      <c r="F1532" s="4">
        <v>1898.32</v>
      </c>
    </row>
    <row r="1533" spans="1:6" ht="15" thickBot="1" x14ac:dyDescent="0.35">
      <c r="A1533" s="3" t="s">
        <v>32</v>
      </c>
      <c r="B1533" s="2" t="s">
        <v>7</v>
      </c>
      <c r="C1533" s="2" t="s">
        <v>13</v>
      </c>
      <c r="D1533" s="2" t="s">
        <v>28</v>
      </c>
      <c r="E1533" s="2" t="s">
        <v>15</v>
      </c>
      <c r="F1533" s="4">
        <v>1296.76</v>
      </c>
    </row>
    <row r="1534" spans="1:6" ht="15" thickBot="1" x14ac:dyDescent="0.35">
      <c r="A1534" s="3" t="s">
        <v>75</v>
      </c>
      <c r="B1534" s="2" t="s">
        <v>19</v>
      </c>
      <c r="C1534" s="2" t="s">
        <v>23</v>
      </c>
      <c r="D1534" s="2" t="s">
        <v>14</v>
      </c>
      <c r="E1534" s="2" t="s">
        <v>24</v>
      </c>
      <c r="F1534" s="4">
        <v>1414.37</v>
      </c>
    </row>
    <row r="1535" spans="1:6" ht="15" thickBot="1" x14ac:dyDescent="0.35">
      <c r="A1535" s="3" t="s">
        <v>117</v>
      </c>
      <c r="B1535" s="2" t="s">
        <v>7</v>
      </c>
      <c r="C1535" s="2" t="s">
        <v>34</v>
      </c>
      <c r="D1535" s="2" t="s">
        <v>9</v>
      </c>
      <c r="E1535" s="2" t="s">
        <v>15</v>
      </c>
      <c r="F1535" s="4">
        <v>4136.0716000000002</v>
      </c>
    </row>
    <row r="1536" spans="1:6" ht="15" thickBot="1" x14ac:dyDescent="0.35">
      <c r="A1536" s="3" t="s">
        <v>88</v>
      </c>
      <c r="B1536" s="2" t="s">
        <v>7</v>
      </c>
      <c r="C1536" s="2" t="s">
        <v>23</v>
      </c>
      <c r="D1536" s="2" t="s">
        <v>28</v>
      </c>
      <c r="E1536" s="2" t="s">
        <v>24</v>
      </c>
      <c r="F1536" s="4">
        <v>3952.36</v>
      </c>
    </row>
    <row r="1537" spans="1:6" ht="15" thickBot="1" x14ac:dyDescent="0.35">
      <c r="A1537" s="3" t="s">
        <v>193</v>
      </c>
      <c r="B1537" s="2" t="s">
        <v>12</v>
      </c>
      <c r="C1537" s="2" t="s">
        <v>34</v>
      </c>
      <c r="D1537" s="2" t="s">
        <v>14</v>
      </c>
      <c r="E1537" s="2" t="s">
        <v>10</v>
      </c>
      <c r="F1537" s="4">
        <v>4563.3599999999997</v>
      </c>
    </row>
    <row r="1538" spans="1:6" ht="15" thickBot="1" x14ac:dyDescent="0.35">
      <c r="A1538" s="3" t="s">
        <v>37</v>
      </c>
      <c r="B1538" s="2" t="s">
        <v>17</v>
      </c>
      <c r="C1538" s="2" t="s">
        <v>23</v>
      </c>
      <c r="D1538" s="2" t="s">
        <v>9</v>
      </c>
      <c r="E1538" s="2" t="s">
        <v>15</v>
      </c>
      <c r="F1538" s="4">
        <v>2084.5673750000001</v>
      </c>
    </row>
    <row r="1539" spans="1:6" ht="15" thickBot="1" x14ac:dyDescent="0.35">
      <c r="A1539" s="3" t="s">
        <v>214</v>
      </c>
      <c r="B1539" s="2" t="s">
        <v>30</v>
      </c>
      <c r="C1539" s="2" t="s">
        <v>34</v>
      </c>
      <c r="D1539" s="2" t="s">
        <v>14</v>
      </c>
      <c r="E1539" s="2" t="s">
        <v>10</v>
      </c>
      <c r="F1539" s="4">
        <v>4081.51</v>
      </c>
    </row>
    <row r="1540" spans="1:6" ht="15" thickBot="1" x14ac:dyDescent="0.35">
      <c r="A1540" s="3" t="s">
        <v>196</v>
      </c>
      <c r="B1540" s="2" t="s">
        <v>30</v>
      </c>
      <c r="C1540" s="2" t="s">
        <v>13</v>
      </c>
      <c r="D1540" s="2" t="s">
        <v>28</v>
      </c>
      <c r="E1540" s="2" t="s">
        <v>15</v>
      </c>
      <c r="F1540" s="4">
        <v>4483.63</v>
      </c>
    </row>
    <row r="1541" spans="1:6" ht="15" thickBot="1" x14ac:dyDescent="0.35">
      <c r="A1541" s="3" t="s">
        <v>86</v>
      </c>
      <c r="B1541" s="2" t="s">
        <v>19</v>
      </c>
      <c r="C1541" s="2" t="s">
        <v>34</v>
      </c>
      <c r="D1541" s="2" t="s">
        <v>14</v>
      </c>
      <c r="E1541" s="2" t="s">
        <v>24</v>
      </c>
      <c r="F1541" s="4">
        <v>3368.54</v>
      </c>
    </row>
    <row r="1542" spans="1:6" ht="15" thickBot="1" x14ac:dyDescent="0.35">
      <c r="A1542" s="3" t="s">
        <v>202</v>
      </c>
      <c r="B1542" s="2" t="s">
        <v>12</v>
      </c>
      <c r="C1542" s="2" t="s">
        <v>13</v>
      </c>
      <c r="D1542" s="2" t="s">
        <v>14</v>
      </c>
      <c r="E1542" s="2" t="s">
        <v>24</v>
      </c>
      <c r="F1542" s="4">
        <v>82.35</v>
      </c>
    </row>
    <row r="1543" spans="1:6" ht="15" thickBot="1" x14ac:dyDescent="0.35">
      <c r="A1543" s="3" t="s">
        <v>171</v>
      </c>
      <c r="B1543" s="2" t="s">
        <v>17</v>
      </c>
      <c r="C1543" s="2" t="s">
        <v>34</v>
      </c>
      <c r="D1543" s="2" t="s">
        <v>28</v>
      </c>
      <c r="E1543" s="2" t="s">
        <v>15</v>
      </c>
      <c r="F1543" s="4">
        <v>4175.62</v>
      </c>
    </row>
    <row r="1544" spans="1:6" ht="15" thickBot="1" x14ac:dyDescent="0.35">
      <c r="A1544" s="3" t="s">
        <v>122</v>
      </c>
      <c r="B1544" s="2" t="s">
        <v>19</v>
      </c>
      <c r="C1544" s="2" t="s">
        <v>34</v>
      </c>
      <c r="D1544" s="2" t="s">
        <v>14</v>
      </c>
      <c r="E1544" s="2" t="s">
        <v>10</v>
      </c>
      <c r="F1544" s="4">
        <v>1796.14</v>
      </c>
    </row>
    <row r="1545" spans="1:6" ht="15" thickBot="1" x14ac:dyDescent="0.35">
      <c r="A1545" s="3" t="s">
        <v>80</v>
      </c>
      <c r="B1545" s="2" t="s">
        <v>17</v>
      </c>
      <c r="C1545" s="2" t="s">
        <v>34</v>
      </c>
      <c r="D1545" s="2" t="s">
        <v>28</v>
      </c>
      <c r="E1545" s="2" t="s">
        <v>15</v>
      </c>
      <c r="F1545" s="4">
        <v>3373.26</v>
      </c>
    </row>
    <row r="1546" spans="1:6" ht="15" thickBot="1" x14ac:dyDescent="0.35">
      <c r="A1546" s="3" t="s">
        <v>88</v>
      </c>
      <c r="B1546" s="2" t="s">
        <v>7</v>
      </c>
      <c r="C1546" s="2" t="s">
        <v>13</v>
      </c>
      <c r="D1546" s="2" t="s">
        <v>14</v>
      </c>
      <c r="E1546" s="2" t="s">
        <v>24</v>
      </c>
      <c r="F1546" s="4">
        <v>3051.55</v>
      </c>
    </row>
    <row r="1547" spans="1:6" ht="15" thickBot="1" x14ac:dyDescent="0.35">
      <c r="A1547" s="3" t="s">
        <v>115</v>
      </c>
      <c r="B1547" s="2" t="s">
        <v>19</v>
      </c>
      <c r="C1547" s="2" t="s">
        <v>8</v>
      </c>
      <c r="D1547" s="2" t="s">
        <v>28</v>
      </c>
      <c r="E1547" s="2" t="s">
        <v>15</v>
      </c>
      <c r="F1547" s="4">
        <v>3770.37</v>
      </c>
    </row>
    <row r="1548" spans="1:6" ht="15" thickBot="1" x14ac:dyDescent="0.35">
      <c r="A1548" s="3" t="s">
        <v>150</v>
      </c>
      <c r="B1548" s="2" t="s">
        <v>30</v>
      </c>
      <c r="C1548" s="2" t="s">
        <v>34</v>
      </c>
      <c r="D1548" s="2" t="s">
        <v>28</v>
      </c>
      <c r="E1548" s="2" t="s">
        <v>15</v>
      </c>
      <c r="F1548" s="4">
        <v>3887.64</v>
      </c>
    </row>
    <row r="1549" spans="1:6" ht="15" thickBot="1" x14ac:dyDescent="0.35">
      <c r="A1549" s="3" t="s">
        <v>182</v>
      </c>
      <c r="B1549" s="2" t="s">
        <v>12</v>
      </c>
      <c r="C1549" s="2" t="s">
        <v>8</v>
      </c>
      <c r="D1549" s="2" t="s">
        <v>14</v>
      </c>
      <c r="E1549" s="2" t="s">
        <v>10</v>
      </c>
      <c r="F1549" s="4">
        <v>4523.25</v>
      </c>
    </row>
    <row r="1550" spans="1:6" ht="15" thickBot="1" x14ac:dyDescent="0.35">
      <c r="A1550" s="3" t="s">
        <v>61</v>
      </c>
      <c r="B1550" s="2" t="s">
        <v>30</v>
      </c>
      <c r="C1550" s="2" t="s">
        <v>23</v>
      </c>
      <c r="D1550" s="2" t="s">
        <v>28</v>
      </c>
      <c r="E1550" s="2" t="s">
        <v>15</v>
      </c>
      <c r="F1550" s="4">
        <v>4229.33</v>
      </c>
    </row>
    <row r="1551" spans="1:6" ht="15" thickBot="1" x14ac:dyDescent="0.35">
      <c r="A1551" s="3" t="s">
        <v>211</v>
      </c>
      <c r="B1551" s="2" t="s">
        <v>7</v>
      </c>
      <c r="C1551" s="2" t="s">
        <v>23</v>
      </c>
      <c r="D1551" s="2" t="s">
        <v>14</v>
      </c>
      <c r="E1551" s="2" t="s">
        <v>24</v>
      </c>
      <c r="F1551" s="4">
        <v>1909.18</v>
      </c>
    </row>
    <row r="1552" spans="1:6" ht="15" thickBot="1" x14ac:dyDescent="0.35">
      <c r="A1552" s="3" t="s">
        <v>195</v>
      </c>
      <c r="B1552" s="2" t="s">
        <v>7</v>
      </c>
      <c r="C1552" s="2" t="s">
        <v>13</v>
      </c>
      <c r="D1552" s="2" t="s">
        <v>14</v>
      </c>
      <c r="E1552" s="2" t="s">
        <v>24</v>
      </c>
      <c r="F1552" s="4">
        <v>1689.24</v>
      </c>
    </row>
    <row r="1553" spans="1:6" ht="15" thickBot="1" x14ac:dyDescent="0.35">
      <c r="A1553" s="3" t="s">
        <v>90</v>
      </c>
      <c r="B1553" s="2" t="s">
        <v>19</v>
      </c>
      <c r="C1553" s="2" t="s">
        <v>13</v>
      </c>
      <c r="D1553" s="2" t="s">
        <v>14</v>
      </c>
      <c r="E1553" s="2" t="s">
        <v>24</v>
      </c>
      <c r="F1553" s="4">
        <v>1270.1199999999999</v>
      </c>
    </row>
    <row r="1554" spans="1:6" ht="15" thickBot="1" x14ac:dyDescent="0.35">
      <c r="A1554" s="3" t="s">
        <v>64</v>
      </c>
      <c r="B1554" s="2" t="s">
        <v>30</v>
      </c>
      <c r="C1554" s="2" t="s">
        <v>8</v>
      </c>
      <c r="D1554" s="2" t="s">
        <v>9</v>
      </c>
      <c r="E1554" s="2" t="s">
        <v>15</v>
      </c>
      <c r="F1554" s="4">
        <v>1816.03</v>
      </c>
    </row>
    <row r="1555" spans="1:6" ht="15" thickBot="1" x14ac:dyDescent="0.35">
      <c r="A1555" s="3" t="s">
        <v>148</v>
      </c>
      <c r="B1555" s="2" t="s">
        <v>17</v>
      </c>
      <c r="C1555" s="2" t="s">
        <v>34</v>
      </c>
      <c r="D1555" s="2" t="s">
        <v>14</v>
      </c>
      <c r="E1555" s="2" t="s">
        <v>15</v>
      </c>
      <c r="F1555" s="4">
        <v>1943.87</v>
      </c>
    </row>
    <row r="1556" spans="1:6" ht="15" thickBot="1" x14ac:dyDescent="0.35">
      <c r="A1556" s="3" t="s">
        <v>154</v>
      </c>
      <c r="B1556" s="2" t="s">
        <v>12</v>
      </c>
      <c r="C1556" s="2" t="s">
        <v>8</v>
      </c>
      <c r="D1556" s="2" t="s">
        <v>28</v>
      </c>
      <c r="E1556" s="2" t="s">
        <v>15</v>
      </c>
      <c r="F1556" s="4">
        <v>2832.16</v>
      </c>
    </row>
    <row r="1557" spans="1:6" ht="15" thickBot="1" x14ac:dyDescent="0.35">
      <c r="A1557" s="3" t="s">
        <v>219</v>
      </c>
      <c r="B1557" s="2" t="s">
        <v>12</v>
      </c>
      <c r="C1557" s="2" t="s">
        <v>13</v>
      </c>
      <c r="D1557" s="2" t="s">
        <v>28</v>
      </c>
      <c r="E1557" s="2" t="s">
        <v>10</v>
      </c>
      <c r="F1557" s="4">
        <v>4684.57</v>
      </c>
    </row>
    <row r="1558" spans="1:6" ht="15" thickBot="1" x14ac:dyDescent="0.35">
      <c r="A1558" s="3" t="s">
        <v>25</v>
      </c>
      <c r="B1558" s="2" t="s">
        <v>19</v>
      </c>
      <c r="C1558" s="2" t="s">
        <v>8</v>
      </c>
      <c r="D1558" s="2" t="s">
        <v>9</v>
      </c>
      <c r="E1558" s="2" t="s">
        <v>10</v>
      </c>
      <c r="F1558" s="4">
        <v>785.4165941</v>
      </c>
    </row>
    <row r="1559" spans="1:6" ht="15" thickBot="1" x14ac:dyDescent="0.35">
      <c r="A1559" s="3" t="s">
        <v>139</v>
      </c>
      <c r="B1559" s="2" t="s">
        <v>7</v>
      </c>
      <c r="C1559" s="2" t="s">
        <v>8</v>
      </c>
      <c r="D1559" s="2" t="s">
        <v>9</v>
      </c>
      <c r="E1559" s="2" t="s">
        <v>24</v>
      </c>
      <c r="F1559" s="4">
        <v>828.30804790000002</v>
      </c>
    </row>
    <row r="1560" spans="1:6" ht="15" thickBot="1" x14ac:dyDescent="0.35">
      <c r="A1560" s="3" t="s">
        <v>219</v>
      </c>
      <c r="B1560" s="2" t="s">
        <v>12</v>
      </c>
      <c r="C1560" s="2" t="s">
        <v>8</v>
      </c>
      <c r="D1560" s="2" t="s">
        <v>14</v>
      </c>
      <c r="E1560" s="2" t="s">
        <v>10</v>
      </c>
      <c r="F1560" s="4">
        <v>4960.6099999999997</v>
      </c>
    </row>
    <row r="1561" spans="1:6" ht="15" thickBot="1" x14ac:dyDescent="0.35">
      <c r="A1561" s="3" t="s">
        <v>190</v>
      </c>
      <c r="B1561" s="2" t="s">
        <v>17</v>
      </c>
      <c r="C1561" s="2" t="s">
        <v>13</v>
      </c>
      <c r="D1561" s="2" t="s">
        <v>28</v>
      </c>
      <c r="E1561" s="2" t="s">
        <v>10</v>
      </c>
      <c r="F1561" s="4">
        <v>4377.79</v>
      </c>
    </row>
    <row r="1562" spans="1:6" ht="15" thickBot="1" x14ac:dyDescent="0.35">
      <c r="A1562" s="3" t="s">
        <v>91</v>
      </c>
      <c r="B1562" s="2" t="s">
        <v>30</v>
      </c>
      <c r="C1562" s="2" t="s">
        <v>13</v>
      </c>
      <c r="D1562" s="2" t="s">
        <v>9</v>
      </c>
      <c r="E1562" s="2" t="s">
        <v>15</v>
      </c>
      <c r="F1562" s="4">
        <v>2535.300616</v>
      </c>
    </row>
    <row r="1563" spans="1:6" ht="15" thickBot="1" x14ac:dyDescent="0.35">
      <c r="A1563" s="3" t="s">
        <v>85</v>
      </c>
      <c r="B1563" s="2" t="s">
        <v>30</v>
      </c>
      <c r="C1563" s="2" t="s">
        <v>23</v>
      </c>
      <c r="D1563" s="2" t="s">
        <v>14</v>
      </c>
      <c r="E1563" s="2" t="s">
        <v>10</v>
      </c>
      <c r="F1563" s="4">
        <v>2251.6</v>
      </c>
    </row>
    <row r="1564" spans="1:6" ht="15" thickBot="1" x14ac:dyDescent="0.35">
      <c r="A1564" s="3" t="s">
        <v>175</v>
      </c>
      <c r="B1564" s="2" t="s">
        <v>7</v>
      </c>
      <c r="C1564" s="2" t="s">
        <v>8</v>
      </c>
      <c r="D1564" s="2" t="s">
        <v>9</v>
      </c>
      <c r="E1564" s="2" t="s">
        <v>24</v>
      </c>
      <c r="F1564" s="4">
        <v>733.12507359999995</v>
      </c>
    </row>
    <row r="1565" spans="1:6" ht="15" thickBot="1" x14ac:dyDescent="0.35">
      <c r="A1565" s="3" t="s">
        <v>212</v>
      </c>
      <c r="B1565" s="2" t="s">
        <v>7</v>
      </c>
      <c r="C1565" s="2" t="s">
        <v>8</v>
      </c>
      <c r="D1565" s="2" t="s">
        <v>28</v>
      </c>
      <c r="E1565" s="2" t="s">
        <v>15</v>
      </c>
      <c r="F1565" s="4">
        <v>1054.48</v>
      </c>
    </row>
    <row r="1566" spans="1:6" ht="15" thickBot="1" x14ac:dyDescent="0.35">
      <c r="A1566" s="3" t="s">
        <v>52</v>
      </c>
      <c r="B1566" s="2" t="s">
        <v>19</v>
      </c>
      <c r="C1566" s="2" t="s">
        <v>13</v>
      </c>
      <c r="D1566" s="2" t="s">
        <v>14</v>
      </c>
      <c r="E1566" s="2" t="s">
        <v>15</v>
      </c>
      <c r="F1566" s="4">
        <v>4429.91</v>
      </c>
    </row>
    <row r="1567" spans="1:6" ht="15" thickBot="1" x14ac:dyDescent="0.35">
      <c r="A1567" s="3" t="s">
        <v>31</v>
      </c>
      <c r="B1567" s="2" t="s">
        <v>30</v>
      </c>
      <c r="C1567" s="2" t="s">
        <v>23</v>
      </c>
      <c r="D1567" s="2" t="s">
        <v>9</v>
      </c>
      <c r="E1567" s="2" t="s">
        <v>24</v>
      </c>
      <c r="F1567" s="4">
        <v>3923.1479300000001</v>
      </c>
    </row>
    <row r="1568" spans="1:6" ht="15" thickBot="1" x14ac:dyDescent="0.35">
      <c r="A1568" s="3" t="s">
        <v>137</v>
      </c>
      <c r="B1568" s="2" t="s">
        <v>17</v>
      </c>
      <c r="C1568" s="2" t="s">
        <v>13</v>
      </c>
      <c r="D1568" s="2" t="s">
        <v>9</v>
      </c>
      <c r="E1568" s="2" t="s">
        <v>10</v>
      </c>
      <c r="F1568" s="4">
        <v>767.46223359999999</v>
      </c>
    </row>
    <row r="1569" spans="1:6" ht="15" thickBot="1" x14ac:dyDescent="0.35">
      <c r="A1569" s="3" t="s">
        <v>55</v>
      </c>
      <c r="B1569" s="2" t="s">
        <v>12</v>
      </c>
      <c r="C1569" s="2" t="s">
        <v>34</v>
      </c>
      <c r="D1569" s="2" t="s">
        <v>9</v>
      </c>
      <c r="E1569" s="2" t="s">
        <v>24</v>
      </c>
      <c r="F1569" s="4">
        <v>592.72258729999999</v>
      </c>
    </row>
    <row r="1570" spans="1:6" ht="15" thickBot="1" x14ac:dyDescent="0.35">
      <c r="A1570" s="3" t="s">
        <v>37</v>
      </c>
      <c r="B1570" s="2" t="s">
        <v>17</v>
      </c>
      <c r="C1570" s="2" t="s">
        <v>8</v>
      </c>
      <c r="D1570" s="2" t="s">
        <v>14</v>
      </c>
      <c r="E1570" s="2" t="s">
        <v>10</v>
      </c>
      <c r="F1570" s="4">
        <v>3539.99</v>
      </c>
    </row>
    <row r="1571" spans="1:6" ht="15" thickBot="1" x14ac:dyDescent="0.35">
      <c r="A1571" s="3" t="s">
        <v>61</v>
      </c>
      <c r="B1571" s="2" t="s">
        <v>30</v>
      </c>
      <c r="C1571" s="2" t="s">
        <v>8</v>
      </c>
      <c r="D1571" s="2" t="s">
        <v>9</v>
      </c>
      <c r="E1571" s="2" t="s">
        <v>24</v>
      </c>
      <c r="F1571" s="4">
        <v>2579.1888560000002</v>
      </c>
    </row>
    <row r="1572" spans="1:6" ht="15" thickBot="1" x14ac:dyDescent="0.35">
      <c r="A1572" s="3" t="s">
        <v>204</v>
      </c>
      <c r="B1572" s="2" t="s">
        <v>30</v>
      </c>
      <c r="C1572" s="2" t="s">
        <v>34</v>
      </c>
      <c r="D1572" s="2" t="s">
        <v>28</v>
      </c>
      <c r="E1572" s="2" t="s">
        <v>24</v>
      </c>
      <c r="F1572" s="4">
        <v>4158.7700000000004</v>
      </c>
    </row>
    <row r="1573" spans="1:6" ht="15" thickBot="1" x14ac:dyDescent="0.35">
      <c r="A1573" s="3" t="s">
        <v>214</v>
      </c>
      <c r="B1573" s="2" t="s">
        <v>30</v>
      </c>
      <c r="C1573" s="2" t="s">
        <v>13</v>
      </c>
      <c r="D1573" s="2" t="s">
        <v>9</v>
      </c>
      <c r="E1573" s="2" t="s">
        <v>15</v>
      </c>
      <c r="F1573" s="4">
        <v>687.46053629999994</v>
      </c>
    </row>
    <row r="1574" spans="1:6" ht="15" thickBot="1" x14ac:dyDescent="0.35">
      <c r="A1574" s="3" t="s">
        <v>86</v>
      </c>
      <c r="B1574" s="2" t="s">
        <v>19</v>
      </c>
      <c r="C1574" s="2" t="s">
        <v>23</v>
      </c>
      <c r="D1574" s="2" t="s">
        <v>14</v>
      </c>
      <c r="E1574" s="2" t="s">
        <v>24</v>
      </c>
      <c r="F1574" s="4">
        <v>2922.31</v>
      </c>
    </row>
    <row r="1575" spans="1:6" ht="15" thickBot="1" x14ac:dyDescent="0.35">
      <c r="A1575" s="3" t="s">
        <v>32</v>
      </c>
      <c r="B1575" s="2" t="s">
        <v>7</v>
      </c>
      <c r="C1575" s="2" t="s">
        <v>34</v>
      </c>
      <c r="D1575" s="2" t="s">
        <v>14</v>
      </c>
      <c r="E1575" s="2" t="s">
        <v>15</v>
      </c>
      <c r="F1575" s="4">
        <v>584.58000000000004</v>
      </c>
    </row>
    <row r="1576" spans="1:6" ht="15" thickBot="1" x14ac:dyDescent="0.35">
      <c r="A1576" s="3" t="s">
        <v>170</v>
      </c>
      <c r="B1576" s="2" t="s">
        <v>12</v>
      </c>
      <c r="C1576" s="2" t="s">
        <v>13</v>
      </c>
      <c r="D1576" s="2" t="s">
        <v>14</v>
      </c>
      <c r="E1576" s="2" t="s">
        <v>15</v>
      </c>
      <c r="F1576" s="4">
        <v>87.51</v>
      </c>
    </row>
    <row r="1577" spans="1:6" ht="15" thickBot="1" x14ac:dyDescent="0.35">
      <c r="A1577" s="3" t="s">
        <v>132</v>
      </c>
      <c r="B1577" s="2" t="s">
        <v>19</v>
      </c>
      <c r="C1577" s="2" t="s">
        <v>23</v>
      </c>
      <c r="D1577" s="2" t="s">
        <v>14</v>
      </c>
      <c r="E1577" s="2" t="s">
        <v>24</v>
      </c>
      <c r="F1577" s="4">
        <v>3948.45</v>
      </c>
    </row>
    <row r="1578" spans="1:6" ht="15" thickBot="1" x14ac:dyDescent="0.35">
      <c r="A1578" s="3" t="s">
        <v>66</v>
      </c>
      <c r="B1578" s="2" t="s">
        <v>30</v>
      </c>
      <c r="C1578" s="2" t="s">
        <v>34</v>
      </c>
      <c r="D1578" s="2" t="s">
        <v>9</v>
      </c>
      <c r="E1578" s="2" t="s">
        <v>15</v>
      </c>
      <c r="F1578" s="4">
        <v>3846.6288559999998</v>
      </c>
    </row>
    <row r="1579" spans="1:6" ht="15" thickBot="1" x14ac:dyDescent="0.35">
      <c r="A1579" s="3" t="s">
        <v>213</v>
      </c>
      <c r="B1579" s="2" t="s">
        <v>12</v>
      </c>
      <c r="C1579" s="2" t="s">
        <v>8</v>
      </c>
      <c r="D1579" s="2" t="s">
        <v>9</v>
      </c>
      <c r="E1579" s="2" t="s">
        <v>24</v>
      </c>
      <c r="F1579" s="4">
        <v>4673.8026419999997</v>
      </c>
    </row>
    <row r="1580" spans="1:6" ht="15" thickBot="1" x14ac:dyDescent="0.35">
      <c r="A1580" s="3" t="s">
        <v>171</v>
      </c>
      <c r="B1580" s="2" t="s">
        <v>17</v>
      </c>
      <c r="C1580" s="2" t="s">
        <v>34</v>
      </c>
      <c r="D1580" s="2" t="s">
        <v>28</v>
      </c>
      <c r="E1580" s="2" t="s">
        <v>24</v>
      </c>
      <c r="F1580" s="4">
        <v>4711.6899999999996</v>
      </c>
    </row>
    <row r="1581" spans="1:6" ht="15" thickBot="1" x14ac:dyDescent="0.35">
      <c r="A1581" s="3" t="s">
        <v>37</v>
      </c>
      <c r="B1581" s="2" t="s">
        <v>17</v>
      </c>
      <c r="C1581" s="2" t="s">
        <v>13</v>
      </c>
      <c r="D1581" s="2" t="s">
        <v>9</v>
      </c>
      <c r="E1581" s="2" t="s">
        <v>15</v>
      </c>
      <c r="F1581" s="4">
        <v>2670.5212799999999</v>
      </c>
    </row>
    <row r="1582" spans="1:6" ht="15" thickBot="1" x14ac:dyDescent="0.35">
      <c r="A1582" s="3" t="s">
        <v>40</v>
      </c>
      <c r="B1582" s="2" t="s">
        <v>19</v>
      </c>
      <c r="C1582" s="2" t="s">
        <v>34</v>
      </c>
      <c r="D1582" s="2" t="s">
        <v>9</v>
      </c>
      <c r="E1582" s="2" t="s">
        <v>15</v>
      </c>
      <c r="F1582" s="4">
        <v>919.40386920000003</v>
      </c>
    </row>
    <row r="1583" spans="1:6" ht="15" thickBot="1" x14ac:dyDescent="0.35">
      <c r="A1583" s="3" t="s">
        <v>25</v>
      </c>
      <c r="B1583" s="2" t="s">
        <v>19</v>
      </c>
      <c r="C1583" s="2" t="s">
        <v>23</v>
      </c>
      <c r="D1583" s="2" t="s">
        <v>14</v>
      </c>
      <c r="E1583" s="2" t="s">
        <v>24</v>
      </c>
      <c r="F1583" s="4">
        <v>4514.75</v>
      </c>
    </row>
    <row r="1584" spans="1:6" ht="15" thickBot="1" x14ac:dyDescent="0.35">
      <c r="A1584" s="3" t="s">
        <v>89</v>
      </c>
      <c r="B1584" s="2" t="s">
        <v>17</v>
      </c>
      <c r="C1584" s="2" t="s">
        <v>34</v>
      </c>
      <c r="D1584" s="2" t="s">
        <v>9</v>
      </c>
      <c r="E1584" s="2" t="s">
        <v>15</v>
      </c>
      <c r="F1584" s="4">
        <v>3766.601905</v>
      </c>
    </row>
    <row r="1585" spans="1:6" ht="15" thickBot="1" x14ac:dyDescent="0.35">
      <c r="A1585" s="3" t="s">
        <v>192</v>
      </c>
      <c r="B1585" s="2" t="s">
        <v>19</v>
      </c>
      <c r="C1585" s="2" t="s">
        <v>23</v>
      </c>
      <c r="D1585" s="2" t="s">
        <v>28</v>
      </c>
      <c r="E1585" s="2" t="s">
        <v>10</v>
      </c>
      <c r="F1585" s="4">
        <v>730.13</v>
      </c>
    </row>
    <row r="1586" spans="1:6" ht="15" thickBot="1" x14ac:dyDescent="0.35">
      <c r="A1586" s="3" t="s">
        <v>213</v>
      </c>
      <c r="B1586" s="2" t="s">
        <v>12</v>
      </c>
      <c r="C1586" s="2" t="s">
        <v>13</v>
      </c>
      <c r="D1586" s="2" t="s">
        <v>14</v>
      </c>
      <c r="E1586" s="2" t="s">
        <v>24</v>
      </c>
      <c r="F1586" s="4">
        <v>2811.95</v>
      </c>
    </row>
    <row r="1587" spans="1:6" ht="15" thickBot="1" x14ac:dyDescent="0.35">
      <c r="A1587" s="3" t="s">
        <v>37</v>
      </c>
      <c r="B1587" s="2" t="s">
        <v>17</v>
      </c>
      <c r="C1587" s="2" t="s">
        <v>13</v>
      </c>
      <c r="D1587" s="2" t="s">
        <v>9</v>
      </c>
      <c r="E1587" s="2" t="s">
        <v>15</v>
      </c>
      <c r="F1587" s="4">
        <v>5044.2036189999999</v>
      </c>
    </row>
    <row r="1588" spans="1:6" ht="15" thickBot="1" x14ac:dyDescent="0.35">
      <c r="A1588" s="3" t="s">
        <v>67</v>
      </c>
      <c r="B1588" s="2" t="s">
        <v>7</v>
      </c>
      <c r="C1588" s="2" t="s">
        <v>8</v>
      </c>
      <c r="D1588" s="2" t="s">
        <v>28</v>
      </c>
      <c r="E1588" s="2" t="s">
        <v>15</v>
      </c>
      <c r="F1588" s="4">
        <v>4074.33</v>
      </c>
    </row>
    <row r="1589" spans="1:6" ht="15" thickBot="1" x14ac:dyDescent="0.35">
      <c r="A1589" s="3" t="s">
        <v>205</v>
      </c>
      <c r="B1589" s="2" t="s">
        <v>17</v>
      </c>
      <c r="C1589" s="2" t="s">
        <v>8</v>
      </c>
      <c r="D1589" s="2" t="s">
        <v>28</v>
      </c>
      <c r="E1589" s="2" t="s">
        <v>15</v>
      </c>
      <c r="F1589" s="4">
        <v>1048.08</v>
      </c>
    </row>
    <row r="1590" spans="1:6" ht="15" thickBot="1" x14ac:dyDescent="0.35">
      <c r="A1590" s="3" t="s">
        <v>160</v>
      </c>
      <c r="B1590" s="2" t="s">
        <v>30</v>
      </c>
      <c r="C1590" s="2" t="s">
        <v>34</v>
      </c>
      <c r="D1590" s="2" t="s">
        <v>9</v>
      </c>
      <c r="E1590" s="2" t="s">
        <v>15</v>
      </c>
      <c r="F1590" s="4">
        <v>3290.44</v>
      </c>
    </row>
    <row r="1591" spans="1:6" ht="15" thickBot="1" x14ac:dyDescent="0.35">
      <c r="A1591" s="3" t="s">
        <v>144</v>
      </c>
      <c r="B1591" s="2" t="s">
        <v>30</v>
      </c>
      <c r="C1591" s="2" t="s">
        <v>13</v>
      </c>
      <c r="D1591" s="2" t="s">
        <v>9</v>
      </c>
      <c r="E1591" s="2" t="s">
        <v>10</v>
      </c>
      <c r="F1591" s="4">
        <v>1966.43</v>
      </c>
    </row>
    <row r="1592" spans="1:6" ht="15" thickBot="1" x14ac:dyDescent="0.35">
      <c r="A1592" s="3" t="s">
        <v>97</v>
      </c>
      <c r="B1592" s="2" t="s">
        <v>7</v>
      </c>
      <c r="C1592" s="2" t="s">
        <v>8</v>
      </c>
      <c r="D1592" s="2" t="s">
        <v>28</v>
      </c>
      <c r="E1592" s="2" t="s">
        <v>15</v>
      </c>
      <c r="F1592" s="4">
        <v>2842.86</v>
      </c>
    </row>
    <row r="1593" spans="1:6" ht="15" thickBot="1" x14ac:dyDescent="0.35">
      <c r="A1593" s="3" t="s">
        <v>189</v>
      </c>
      <c r="B1593" s="2" t="s">
        <v>19</v>
      </c>
      <c r="C1593" s="2" t="s">
        <v>13</v>
      </c>
      <c r="D1593" s="2" t="s">
        <v>14</v>
      </c>
      <c r="E1593" s="2" t="s">
        <v>15</v>
      </c>
      <c r="F1593" s="4">
        <v>2556.0500000000002</v>
      </c>
    </row>
    <row r="1594" spans="1:6" ht="15" thickBot="1" x14ac:dyDescent="0.35">
      <c r="A1594" s="3" t="s">
        <v>146</v>
      </c>
      <c r="B1594" s="2" t="s">
        <v>7</v>
      </c>
      <c r="C1594" s="2" t="s">
        <v>23</v>
      </c>
      <c r="D1594" s="2" t="s">
        <v>28</v>
      </c>
      <c r="E1594" s="2" t="s">
        <v>15</v>
      </c>
      <c r="F1594" s="4">
        <v>3688.09</v>
      </c>
    </row>
    <row r="1595" spans="1:6" ht="15" thickBot="1" x14ac:dyDescent="0.35">
      <c r="A1595" s="3" t="s">
        <v>56</v>
      </c>
      <c r="B1595" s="2" t="s">
        <v>19</v>
      </c>
      <c r="C1595" s="2" t="s">
        <v>8</v>
      </c>
      <c r="D1595" s="2" t="s">
        <v>9</v>
      </c>
      <c r="E1595" s="2" t="s">
        <v>10</v>
      </c>
      <c r="F1595" s="4">
        <v>3222.3519350000001</v>
      </c>
    </row>
    <row r="1596" spans="1:6" ht="15" thickBot="1" x14ac:dyDescent="0.35">
      <c r="A1596" s="3" t="s">
        <v>85</v>
      </c>
      <c r="B1596" s="2" t="s">
        <v>30</v>
      </c>
      <c r="C1596" s="2" t="s">
        <v>23</v>
      </c>
      <c r="D1596" s="2" t="s">
        <v>14</v>
      </c>
      <c r="E1596" s="2" t="s">
        <v>24</v>
      </c>
      <c r="F1596" s="4">
        <v>475.84</v>
      </c>
    </row>
    <row r="1597" spans="1:6" ht="15" thickBot="1" x14ac:dyDescent="0.35">
      <c r="A1597" s="3" t="s">
        <v>200</v>
      </c>
      <c r="B1597" s="2" t="s">
        <v>30</v>
      </c>
      <c r="C1597" s="2" t="s">
        <v>8</v>
      </c>
      <c r="D1597" s="2" t="s">
        <v>14</v>
      </c>
      <c r="E1597" s="2" t="s">
        <v>15</v>
      </c>
      <c r="F1597" s="4">
        <v>258.93</v>
      </c>
    </row>
    <row r="1598" spans="1:6" ht="15" thickBot="1" x14ac:dyDescent="0.35">
      <c r="A1598" s="3" t="s">
        <v>123</v>
      </c>
      <c r="B1598" s="2" t="s">
        <v>30</v>
      </c>
      <c r="C1598" s="2" t="s">
        <v>8</v>
      </c>
      <c r="D1598" s="2" t="s">
        <v>9</v>
      </c>
      <c r="E1598" s="2" t="s">
        <v>24</v>
      </c>
      <c r="F1598" s="4">
        <v>850.45</v>
      </c>
    </row>
    <row r="1599" spans="1:6" ht="15" thickBot="1" x14ac:dyDescent="0.35">
      <c r="A1599" s="3" t="s">
        <v>150</v>
      </c>
      <c r="B1599" s="2" t="s">
        <v>30</v>
      </c>
      <c r="C1599" s="2" t="s">
        <v>34</v>
      </c>
      <c r="D1599" s="2" t="s">
        <v>14</v>
      </c>
      <c r="E1599" s="2" t="s">
        <v>24</v>
      </c>
      <c r="F1599" s="4">
        <v>1887.87</v>
      </c>
    </row>
    <row r="1600" spans="1:6" ht="15" thickBot="1" x14ac:dyDescent="0.35">
      <c r="A1600" s="3" t="s">
        <v>100</v>
      </c>
      <c r="B1600" s="2" t="s">
        <v>7</v>
      </c>
      <c r="C1600" s="2" t="s">
        <v>34</v>
      </c>
      <c r="D1600" s="2" t="s">
        <v>28</v>
      </c>
      <c r="E1600" s="2" t="s">
        <v>24</v>
      </c>
      <c r="F1600" s="4">
        <v>533.01</v>
      </c>
    </row>
    <row r="1601" spans="1:6" ht="15" thickBot="1" x14ac:dyDescent="0.35">
      <c r="A1601" s="3" t="s">
        <v>132</v>
      </c>
      <c r="B1601" s="2" t="s">
        <v>19</v>
      </c>
      <c r="C1601" s="2" t="s">
        <v>8</v>
      </c>
      <c r="D1601" s="2" t="s">
        <v>28</v>
      </c>
      <c r="E1601" s="2" t="s">
        <v>10</v>
      </c>
      <c r="F1601" s="4">
        <v>572.46</v>
      </c>
    </row>
    <row r="1602" spans="1:6" ht="15" thickBot="1" x14ac:dyDescent="0.35">
      <c r="A1602" s="3" t="s">
        <v>20</v>
      </c>
      <c r="B1602" s="2" t="s">
        <v>17</v>
      </c>
      <c r="C1602" s="2" t="s">
        <v>13</v>
      </c>
      <c r="D1602" s="2" t="s">
        <v>28</v>
      </c>
      <c r="E1602" s="2" t="s">
        <v>24</v>
      </c>
      <c r="F1602" s="4">
        <v>4635.99</v>
      </c>
    </row>
    <row r="1603" spans="1:6" ht="15" thickBot="1" x14ac:dyDescent="0.35">
      <c r="A1603" s="3" t="s">
        <v>112</v>
      </c>
      <c r="B1603" s="2" t="s">
        <v>30</v>
      </c>
      <c r="C1603" s="2" t="s">
        <v>34</v>
      </c>
      <c r="D1603" s="2" t="s">
        <v>14</v>
      </c>
      <c r="E1603" s="2" t="s">
        <v>24</v>
      </c>
      <c r="F1603" s="4">
        <v>4891.97</v>
      </c>
    </row>
    <row r="1604" spans="1:6" ht="15" thickBot="1" x14ac:dyDescent="0.35">
      <c r="A1604" s="3" t="s">
        <v>182</v>
      </c>
      <c r="B1604" s="2" t="s">
        <v>12</v>
      </c>
      <c r="C1604" s="2" t="s">
        <v>23</v>
      </c>
      <c r="D1604" s="2" t="s">
        <v>28</v>
      </c>
      <c r="E1604" s="2" t="s">
        <v>10</v>
      </c>
      <c r="F1604" s="4">
        <v>1184.1400000000001</v>
      </c>
    </row>
    <row r="1605" spans="1:6" ht="15" thickBot="1" x14ac:dyDescent="0.35">
      <c r="A1605" s="3" t="s">
        <v>123</v>
      </c>
      <c r="B1605" s="2" t="s">
        <v>30</v>
      </c>
      <c r="C1605" s="2" t="s">
        <v>13</v>
      </c>
      <c r="D1605" s="2" t="s">
        <v>14</v>
      </c>
      <c r="E1605" s="2" t="s">
        <v>15</v>
      </c>
      <c r="F1605" s="4">
        <v>802.03</v>
      </c>
    </row>
    <row r="1606" spans="1:6" ht="15" thickBot="1" x14ac:dyDescent="0.35">
      <c r="A1606" s="3" t="s">
        <v>54</v>
      </c>
      <c r="B1606" s="2" t="s">
        <v>12</v>
      </c>
      <c r="C1606" s="2" t="s">
        <v>13</v>
      </c>
      <c r="D1606" s="2" t="s">
        <v>9</v>
      </c>
      <c r="E1606" s="2" t="s">
        <v>10</v>
      </c>
      <c r="F1606" s="4">
        <v>2408.4791700000001</v>
      </c>
    </row>
    <row r="1607" spans="1:6" ht="15" thickBot="1" x14ac:dyDescent="0.35">
      <c r="A1607" s="3" t="s">
        <v>161</v>
      </c>
      <c r="B1607" s="2" t="s">
        <v>7</v>
      </c>
      <c r="C1607" s="2" t="s">
        <v>13</v>
      </c>
      <c r="D1607" s="2" t="s">
        <v>9</v>
      </c>
      <c r="E1607" s="2" t="s">
        <v>15</v>
      </c>
      <c r="F1607" s="4">
        <v>3733.1564819999999</v>
      </c>
    </row>
    <row r="1608" spans="1:6" ht="15" thickBot="1" x14ac:dyDescent="0.35">
      <c r="A1608" s="3" t="s">
        <v>165</v>
      </c>
      <c r="B1608" s="2" t="s">
        <v>7</v>
      </c>
      <c r="C1608" s="2" t="s">
        <v>23</v>
      </c>
      <c r="D1608" s="2" t="s">
        <v>9</v>
      </c>
      <c r="E1608" s="2" t="s">
        <v>24</v>
      </c>
      <c r="F1608" s="4">
        <v>163.45412289999999</v>
      </c>
    </row>
    <row r="1609" spans="1:6" ht="15" thickBot="1" x14ac:dyDescent="0.35">
      <c r="A1609" s="3" t="s">
        <v>125</v>
      </c>
      <c r="B1609" s="2" t="s">
        <v>7</v>
      </c>
      <c r="C1609" s="2" t="s">
        <v>23</v>
      </c>
      <c r="D1609" s="2" t="s">
        <v>14</v>
      </c>
      <c r="E1609" s="2" t="s">
        <v>15</v>
      </c>
      <c r="F1609" s="4">
        <v>106.8</v>
      </c>
    </row>
    <row r="1610" spans="1:6" ht="15" thickBot="1" x14ac:dyDescent="0.35">
      <c r="A1610" s="3" t="s">
        <v>122</v>
      </c>
      <c r="B1610" s="2" t="s">
        <v>19</v>
      </c>
      <c r="C1610" s="2" t="s">
        <v>34</v>
      </c>
      <c r="D1610" s="2" t="s">
        <v>14</v>
      </c>
      <c r="E1610" s="2" t="s">
        <v>15</v>
      </c>
      <c r="F1610" s="4">
        <v>2626.92</v>
      </c>
    </row>
    <row r="1611" spans="1:6" ht="15" thickBot="1" x14ac:dyDescent="0.35">
      <c r="A1611" s="3" t="s">
        <v>39</v>
      </c>
      <c r="B1611" s="2" t="s">
        <v>7</v>
      </c>
      <c r="C1611" s="2" t="s">
        <v>8</v>
      </c>
      <c r="D1611" s="2" t="s">
        <v>14</v>
      </c>
      <c r="E1611" s="2" t="s">
        <v>15</v>
      </c>
      <c r="F1611" s="4">
        <v>4932.7299999999996</v>
      </c>
    </row>
    <row r="1612" spans="1:6" ht="15" thickBot="1" x14ac:dyDescent="0.35">
      <c r="A1612" s="3" t="s">
        <v>198</v>
      </c>
      <c r="B1612" s="2" t="s">
        <v>12</v>
      </c>
      <c r="C1612" s="2" t="s">
        <v>8</v>
      </c>
      <c r="D1612" s="2" t="s">
        <v>28</v>
      </c>
      <c r="E1612" s="2" t="s">
        <v>24</v>
      </c>
      <c r="F1612" s="4">
        <v>2097.4</v>
      </c>
    </row>
    <row r="1613" spans="1:6" ht="15" thickBot="1" x14ac:dyDescent="0.35">
      <c r="A1613" s="3" t="s">
        <v>189</v>
      </c>
      <c r="B1613" s="2" t="s">
        <v>19</v>
      </c>
      <c r="C1613" s="2" t="s">
        <v>13</v>
      </c>
      <c r="D1613" s="2" t="s">
        <v>9</v>
      </c>
      <c r="E1613" s="2" t="s">
        <v>15</v>
      </c>
      <c r="F1613" s="4">
        <v>3185.28</v>
      </c>
    </row>
    <row r="1614" spans="1:6" ht="15" thickBot="1" x14ac:dyDescent="0.35">
      <c r="A1614" s="3" t="s">
        <v>124</v>
      </c>
      <c r="B1614" s="2" t="s">
        <v>12</v>
      </c>
      <c r="C1614" s="2" t="s">
        <v>34</v>
      </c>
      <c r="D1614" s="2" t="s">
        <v>14</v>
      </c>
      <c r="E1614" s="2" t="s">
        <v>10</v>
      </c>
      <c r="F1614" s="4">
        <v>3081.68</v>
      </c>
    </row>
    <row r="1615" spans="1:6" ht="15" thickBot="1" x14ac:dyDescent="0.35">
      <c r="A1615" s="3" t="s">
        <v>209</v>
      </c>
      <c r="B1615" s="2" t="s">
        <v>7</v>
      </c>
      <c r="C1615" s="2" t="s">
        <v>13</v>
      </c>
      <c r="D1615" s="2" t="s">
        <v>28</v>
      </c>
      <c r="E1615" s="2" t="s">
        <v>15</v>
      </c>
      <c r="F1615" s="4">
        <v>1531.36</v>
      </c>
    </row>
    <row r="1616" spans="1:6" ht="15" thickBot="1" x14ac:dyDescent="0.35">
      <c r="A1616" s="3" t="s">
        <v>202</v>
      </c>
      <c r="B1616" s="2" t="s">
        <v>12</v>
      </c>
      <c r="C1616" s="2" t="s">
        <v>34</v>
      </c>
      <c r="D1616" s="2" t="s">
        <v>14</v>
      </c>
      <c r="E1616" s="2" t="s">
        <v>10</v>
      </c>
      <c r="F1616" s="4">
        <v>1564.12</v>
      </c>
    </row>
    <row r="1617" spans="1:6" ht="15" thickBot="1" x14ac:dyDescent="0.35">
      <c r="A1617" s="3" t="s">
        <v>101</v>
      </c>
      <c r="B1617" s="2" t="s">
        <v>19</v>
      </c>
      <c r="C1617" s="2" t="s">
        <v>23</v>
      </c>
      <c r="D1617" s="2" t="s">
        <v>28</v>
      </c>
      <c r="E1617" s="2" t="s">
        <v>10</v>
      </c>
      <c r="F1617" s="4">
        <v>3016.94</v>
      </c>
    </row>
    <row r="1618" spans="1:6" ht="15" thickBot="1" x14ac:dyDescent="0.35">
      <c r="A1618" s="3" t="s">
        <v>56</v>
      </c>
      <c r="B1618" s="2" t="s">
        <v>19</v>
      </c>
      <c r="C1618" s="2" t="s">
        <v>34</v>
      </c>
      <c r="D1618" s="2" t="s">
        <v>9</v>
      </c>
      <c r="E1618" s="2" t="s">
        <v>15</v>
      </c>
      <c r="F1618" s="4">
        <v>3853.1870269999999</v>
      </c>
    </row>
    <row r="1619" spans="1:6" ht="15" thickBot="1" x14ac:dyDescent="0.35">
      <c r="A1619" s="3" t="s">
        <v>171</v>
      </c>
      <c r="B1619" s="2" t="s">
        <v>17</v>
      </c>
      <c r="C1619" s="2" t="s">
        <v>23</v>
      </c>
      <c r="D1619" s="2" t="s">
        <v>28</v>
      </c>
      <c r="E1619" s="2" t="s">
        <v>10</v>
      </c>
      <c r="F1619" s="4">
        <v>459.36</v>
      </c>
    </row>
    <row r="1620" spans="1:6" ht="15" thickBot="1" x14ac:dyDescent="0.35">
      <c r="A1620" s="3" t="s">
        <v>216</v>
      </c>
      <c r="B1620" s="2" t="s">
        <v>17</v>
      </c>
      <c r="C1620" s="2" t="s">
        <v>23</v>
      </c>
      <c r="D1620" s="2" t="s">
        <v>14</v>
      </c>
      <c r="E1620" s="2" t="s">
        <v>15</v>
      </c>
      <c r="F1620" s="4">
        <v>2792.22</v>
      </c>
    </row>
    <row r="1621" spans="1:6" ht="15" thickBot="1" x14ac:dyDescent="0.35">
      <c r="A1621" s="3" t="s">
        <v>53</v>
      </c>
      <c r="B1621" s="2" t="s">
        <v>7</v>
      </c>
      <c r="C1621" s="2" t="s">
        <v>34</v>
      </c>
      <c r="D1621" s="2" t="s">
        <v>28</v>
      </c>
      <c r="E1621" s="2" t="s">
        <v>15</v>
      </c>
      <c r="F1621" s="4">
        <v>4129.93</v>
      </c>
    </row>
    <row r="1622" spans="1:6" ht="15" thickBot="1" x14ac:dyDescent="0.35">
      <c r="A1622" s="3" t="s">
        <v>192</v>
      </c>
      <c r="B1622" s="2" t="s">
        <v>19</v>
      </c>
      <c r="C1622" s="2" t="s">
        <v>34</v>
      </c>
      <c r="D1622" s="2" t="s">
        <v>28</v>
      </c>
      <c r="E1622" s="2" t="s">
        <v>15</v>
      </c>
      <c r="F1622" s="4">
        <v>2515.67</v>
      </c>
    </row>
    <row r="1623" spans="1:6" ht="15" thickBot="1" x14ac:dyDescent="0.35">
      <c r="A1623" s="3" t="s">
        <v>37</v>
      </c>
      <c r="B1623" s="2" t="s">
        <v>17</v>
      </c>
      <c r="C1623" s="2" t="s">
        <v>13</v>
      </c>
      <c r="D1623" s="2" t="s">
        <v>9</v>
      </c>
      <c r="E1623" s="2" t="s">
        <v>10</v>
      </c>
      <c r="F1623" s="4">
        <v>1577.952059</v>
      </c>
    </row>
    <row r="1624" spans="1:6" ht="15" thickBot="1" x14ac:dyDescent="0.35">
      <c r="A1624" s="3" t="s">
        <v>102</v>
      </c>
      <c r="B1624" s="2" t="s">
        <v>19</v>
      </c>
      <c r="C1624" s="2" t="s">
        <v>13</v>
      </c>
      <c r="D1624" s="2" t="s">
        <v>9</v>
      </c>
      <c r="E1624" s="2" t="s">
        <v>24</v>
      </c>
      <c r="F1624" s="4">
        <v>4224.2000390000003</v>
      </c>
    </row>
    <row r="1625" spans="1:6" ht="15" thickBot="1" x14ac:dyDescent="0.35">
      <c r="A1625" s="3" t="s">
        <v>101</v>
      </c>
      <c r="B1625" s="2" t="s">
        <v>19</v>
      </c>
      <c r="C1625" s="2" t="s">
        <v>23</v>
      </c>
      <c r="D1625" s="2" t="s">
        <v>9</v>
      </c>
      <c r="E1625" s="2" t="s">
        <v>24</v>
      </c>
      <c r="F1625" s="4">
        <v>4932.401664</v>
      </c>
    </row>
    <row r="1626" spans="1:6" ht="15" thickBot="1" x14ac:dyDescent="0.35">
      <c r="A1626" s="3" t="s">
        <v>212</v>
      </c>
      <c r="B1626" s="2" t="s">
        <v>7</v>
      </c>
      <c r="C1626" s="2" t="s">
        <v>13</v>
      </c>
      <c r="D1626" s="2" t="s">
        <v>28</v>
      </c>
      <c r="E1626" s="2" t="s">
        <v>10</v>
      </c>
      <c r="F1626" s="4">
        <v>1505.22</v>
      </c>
    </row>
    <row r="1627" spans="1:6" ht="15" thickBot="1" x14ac:dyDescent="0.35">
      <c r="A1627" s="3" t="s">
        <v>141</v>
      </c>
      <c r="B1627" s="2" t="s">
        <v>7</v>
      </c>
      <c r="C1627" s="2" t="s">
        <v>23</v>
      </c>
      <c r="D1627" s="2" t="s">
        <v>9</v>
      </c>
      <c r="E1627" s="2" t="s">
        <v>15</v>
      </c>
      <c r="F1627" s="4">
        <v>2186.8441339999999</v>
      </c>
    </row>
    <row r="1628" spans="1:6" ht="15" thickBot="1" x14ac:dyDescent="0.35">
      <c r="A1628" s="3" t="s">
        <v>165</v>
      </c>
      <c r="B1628" s="2" t="s">
        <v>7</v>
      </c>
      <c r="C1628" s="2" t="s">
        <v>13</v>
      </c>
      <c r="D1628" s="2" t="s">
        <v>14</v>
      </c>
      <c r="E1628" s="2" t="s">
        <v>10</v>
      </c>
      <c r="F1628" s="4">
        <v>1236.5999999999999</v>
      </c>
    </row>
    <row r="1629" spans="1:6" ht="15" thickBot="1" x14ac:dyDescent="0.35">
      <c r="A1629" s="3" t="s">
        <v>169</v>
      </c>
      <c r="B1629" s="2" t="s">
        <v>12</v>
      </c>
      <c r="C1629" s="2" t="s">
        <v>34</v>
      </c>
      <c r="D1629" s="2" t="s">
        <v>14</v>
      </c>
      <c r="E1629" s="2" t="s">
        <v>10</v>
      </c>
      <c r="F1629" s="4">
        <v>950.62</v>
      </c>
    </row>
    <row r="1630" spans="1:6" ht="15" thickBot="1" x14ac:dyDescent="0.35">
      <c r="A1630" s="3" t="s">
        <v>212</v>
      </c>
      <c r="B1630" s="2" t="s">
        <v>7</v>
      </c>
      <c r="C1630" s="2" t="s">
        <v>34</v>
      </c>
      <c r="D1630" s="2" t="s">
        <v>9</v>
      </c>
      <c r="E1630" s="2" t="s">
        <v>10</v>
      </c>
      <c r="F1630" s="4">
        <v>1417.732332</v>
      </c>
    </row>
    <row r="1631" spans="1:6" ht="15" thickBot="1" x14ac:dyDescent="0.35">
      <c r="A1631" s="3" t="s">
        <v>153</v>
      </c>
      <c r="B1631" s="2" t="s">
        <v>7</v>
      </c>
      <c r="C1631" s="2" t="s">
        <v>8</v>
      </c>
      <c r="D1631" s="2" t="s">
        <v>14</v>
      </c>
      <c r="E1631" s="2" t="s">
        <v>10</v>
      </c>
      <c r="F1631" s="4">
        <v>1840.6</v>
      </c>
    </row>
    <row r="1632" spans="1:6" ht="15" thickBot="1" x14ac:dyDescent="0.35">
      <c r="A1632" s="3" t="s">
        <v>91</v>
      </c>
      <c r="B1632" s="2" t="s">
        <v>30</v>
      </c>
      <c r="C1632" s="2" t="s">
        <v>34</v>
      </c>
      <c r="D1632" s="2" t="s">
        <v>28</v>
      </c>
      <c r="E1632" s="2" t="s">
        <v>15</v>
      </c>
      <c r="F1632" s="4">
        <v>136.41</v>
      </c>
    </row>
    <row r="1633" spans="1:6" ht="15" thickBot="1" x14ac:dyDescent="0.35">
      <c r="A1633" s="3" t="s">
        <v>39</v>
      </c>
      <c r="B1633" s="2" t="s">
        <v>7</v>
      </c>
      <c r="C1633" s="2" t="s">
        <v>23</v>
      </c>
      <c r="D1633" s="2" t="s">
        <v>14</v>
      </c>
      <c r="E1633" s="2" t="s">
        <v>24</v>
      </c>
      <c r="F1633" s="4">
        <v>2167.6999999999998</v>
      </c>
    </row>
    <row r="1634" spans="1:6" ht="15" thickBot="1" x14ac:dyDescent="0.35">
      <c r="A1634" s="3" t="s">
        <v>68</v>
      </c>
      <c r="B1634" s="2" t="s">
        <v>12</v>
      </c>
      <c r="C1634" s="2" t="s">
        <v>13</v>
      </c>
      <c r="D1634" s="2" t="s">
        <v>28</v>
      </c>
      <c r="E1634" s="2" t="s">
        <v>24</v>
      </c>
      <c r="F1634" s="4">
        <v>3755.45</v>
      </c>
    </row>
    <row r="1635" spans="1:6" ht="15" thickBot="1" x14ac:dyDescent="0.35">
      <c r="A1635" s="3" t="s">
        <v>110</v>
      </c>
      <c r="B1635" s="2" t="s">
        <v>12</v>
      </c>
      <c r="C1635" s="2" t="s">
        <v>13</v>
      </c>
      <c r="D1635" s="2" t="s">
        <v>28</v>
      </c>
      <c r="E1635" s="2" t="s">
        <v>10</v>
      </c>
      <c r="F1635" s="4">
        <v>1313.84</v>
      </c>
    </row>
    <row r="1636" spans="1:6" ht="15" thickBot="1" x14ac:dyDescent="0.35">
      <c r="A1636" s="3" t="s">
        <v>142</v>
      </c>
      <c r="B1636" s="2" t="s">
        <v>17</v>
      </c>
      <c r="C1636" s="2" t="s">
        <v>13</v>
      </c>
      <c r="D1636" s="2" t="s">
        <v>9</v>
      </c>
      <c r="E1636" s="2" t="s">
        <v>10</v>
      </c>
      <c r="F1636" s="4">
        <v>460.07946659999999</v>
      </c>
    </row>
    <row r="1637" spans="1:6" ht="15" thickBot="1" x14ac:dyDescent="0.35">
      <c r="A1637" s="3" t="s">
        <v>181</v>
      </c>
      <c r="B1637" s="2" t="s">
        <v>30</v>
      </c>
      <c r="C1637" s="2" t="s">
        <v>13</v>
      </c>
      <c r="D1637" s="2" t="s">
        <v>9</v>
      </c>
      <c r="E1637" s="2" t="s">
        <v>24</v>
      </c>
      <c r="F1637" s="4">
        <v>2230.0799240000001</v>
      </c>
    </row>
    <row r="1638" spans="1:6" ht="15" thickBot="1" x14ac:dyDescent="0.35">
      <c r="A1638" s="3" t="s">
        <v>21</v>
      </c>
      <c r="B1638" s="2" t="s">
        <v>19</v>
      </c>
      <c r="C1638" s="2" t="s">
        <v>8</v>
      </c>
      <c r="D1638" s="2" t="s">
        <v>14</v>
      </c>
      <c r="E1638" s="2" t="s">
        <v>24</v>
      </c>
      <c r="F1638" s="4">
        <v>324.83</v>
      </c>
    </row>
    <row r="1639" spans="1:6" ht="15" thickBot="1" x14ac:dyDescent="0.35">
      <c r="A1639" s="3" t="s">
        <v>218</v>
      </c>
      <c r="B1639" s="2" t="s">
        <v>17</v>
      </c>
      <c r="C1639" s="2" t="s">
        <v>23</v>
      </c>
      <c r="D1639" s="2" t="s">
        <v>9</v>
      </c>
      <c r="E1639" s="2" t="s">
        <v>10</v>
      </c>
      <c r="F1639" s="4">
        <v>621.26902540000003</v>
      </c>
    </row>
    <row r="1640" spans="1:6" ht="15" thickBot="1" x14ac:dyDescent="0.35">
      <c r="A1640" s="3" t="s">
        <v>187</v>
      </c>
      <c r="B1640" s="2" t="s">
        <v>19</v>
      </c>
      <c r="C1640" s="2" t="s">
        <v>23</v>
      </c>
      <c r="D1640" s="2" t="s">
        <v>28</v>
      </c>
      <c r="E1640" s="2" t="s">
        <v>10</v>
      </c>
      <c r="F1640" s="4">
        <v>1054.75</v>
      </c>
    </row>
    <row r="1641" spans="1:6" ht="15" thickBot="1" x14ac:dyDescent="0.35">
      <c r="A1641" s="3" t="s">
        <v>100</v>
      </c>
      <c r="B1641" s="2" t="s">
        <v>7</v>
      </c>
      <c r="C1641" s="2" t="s">
        <v>13</v>
      </c>
      <c r="D1641" s="2" t="s">
        <v>9</v>
      </c>
      <c r="E1641" s="2" t="s">
        <v>15</v>
      </c>
      <c r="F1641" s="4">
        <v>5086.7290380000004</v>
      </c>
    </row>
    <row r="1642" spans="1:6" ht="15" thickBot="1" x14ac:dyDescent="0.35">
      <c r="A1642" s="3" t="s">
        <v>206</v>
      </c>
      <c r="B1642" s="2" t="s">
        <v>19</v>
      </c>
      <c r="C1642" s="2" t="s">
        <v>23</v>
      </c>
      <c r="D1642" s="2" t="s">
        <v>28</v>
      </c>
      <c r="E1642" s="2" t="s">
        <v>24</v>
      </c>
      <c r="F1642" s="4">
        <v>733.07</v>
      </c>
    </row>
    <row r="1643" spans="1:6" ht="15" thickBot="1" x14ac:dyDescent="0.35">
      <c r="A1643" s="3" t="s">
        <v>108</v>
      </c>
      <c r="B1643" s="2" t="s">
        <v>7</v>
      </c>
      <c r="C1643" s="2" t="s">
        <v>13</v>
      </c>
      <c r="D1643" s="2" t="s">
        <v>14</v>
      </c>
      <c r="E1643" s="2" t="s">
        <v>24</v>
      </c>
      <c r="F1643" s="4">
        <v>4608.12</v>
      </c>
    </row>
    <row r="1644" spans="1:6" ht="15" thickBot="1" x14ac:dyDescent="0.35">
      <c r="A1644" s="3" t="s">
        <v>44</v>
      </c>
      <c r="B1644" s="2" t="s">
        <v>19</v>
      </c>
      <c r="C1644" s="2" t="s">
        <v>23</v>
      </c>
      <c r="D1644" s="2" t="s">
        <v>28</v>
      </c>
      <c r="E1644" s="2" t="s">
        <v>10</v>
      </c>
      <c r="F1644" s="4">
        <v>3092.45</v>
      </c>
    </row>
    <row r="1645" spans="1:6" ht="15" thickBot="1" x14ac:dyDescent="0.35">
      <c r="A1645" s="3" t="s">
        <v>61</v>
      </c>
      <c r="B1645" s="2" t="s">
        <v>30</v>
      </c>
      <c r="C1645" s="2" t="s">
        <v>34</v>
      </c>
      <c r="D1645" s="2" t="s">
        <v>14</v>
      </c>
      <c r="E1645" s="2" t="s">
        <v>15</v>
      </c>
      <c r="F1645" s="4">
        <v>824.2</v>
      </c>
    </row>
    <row r="1646" spans="1:6" ht="15" thickBot="1" x14ac:dyDescent="0.35">
      <c r="A1646" s="3" t="s">
        <v>58</v>
      </c>
      <c r="B1646" s="2" t="s">
        <v>17</v>
      </c>
      <c r="C1646" s="2" t="s">
        <v>8</v>
      </c>
      <c r="D1646" s="2" t="s">
        <v>28</v>
      </c>
      <c r="E1646" s="2" t="s">
        <v>10</v>
      </c>
      <c r="F1646" s="4">
        <v>1816.62</v>
      </c>
    </row>
    <row r="1647" spans="1:6" ht="15" thickBot="1" x14ac:dyDescent="0.35">
      <c r="A1647" s="3" t="s">
        <v>142</v>
      </c>
      <c r="B1647" s="2" t="s">
        <v>17</v>
      </c>
      <c r="C1647" s="2" t="s">
        <v>13</v>
      </c>
      <c r="D1647" s="2" t="s">
        <v>9</v>
      </c>
      <c r="E1647" s="2" t="s">
        <v>15</v>
      </c>
      <c r="F1647" s="4">
        <v>1750.321625</v>
      </c>
    </row>
    <row r="1648" spans="1:6" ht="15" thickBot="1" x14ac:dyDescent="0.35">
      <c r="A1648" s="3" t="s">
        <v>183</v>
      </c>
      <c r="B1648" s="2" t="s">
        <v>7</v>
      </c>
      <c r="C1648" s="2" t="s">
        <v>13</v>
      </c>
      <c r="D1648" s="2" t="s">
        <v>9</v>
      </c>
      <c r="E1648" s="2" t="s">
        <v>10</v>
      </c>
      <c r="F1648" s="4">
        <v>4387.1743159999996</v>
      </c>
    </row>
    <row r="1649" spans="1:6" ht="15" thickBot="1" x14ac:dyDescent="0.35">
      <c r="A1649" s="3" t="s">
        <v>219</v>
      </c>
      <c r="B1649" s="2" t="s">
        <v>12</v>
      </c>
      <c r="C1649" s="2" t="s">
        <v>23</v>
      </c>
      <c r="D1649" s="2" t="s">
        <v>28</v>
      </c>
      <c r="E1649" s="2" t="s">
        <v>24</v>
      </c>
      <c r="F1649" s="4">
        <v>3959.46</v>
      </c>
    </row>
    <row r="1650" spans="1:6" ht="15" thickBot="1" x14ac:dyDescent="0.35">
      <c r="A1650" s="3" t="s">
        <v>38</v>
      </c>
      <c r="B1650" s="2" t="s">
        <v>30</v>
      </c>
      <c r="C1650" s="2" t="s">
        <v>23</v>
      </c>
      <c r="D1650" s="2" t="s">
        <v>28</v>
      </c>
      <c r="E1650" s="2" t="s">
        <v>24</v>
      </c>
      <c r="F1650" s="4">
        <v>976.87</v>
      </c>
    </row>
    <row r="1651" spans="1:6" ht="15" thickBot="1" x14ac:dyDescent="0.35">
      <c r="A1651" s="3" t="s">
        <v>90</v>
      </c>
      <c r="B1651" s="2" t="s">
        <v>19</v>
      </c>
      <c r="C1651" s="2" t="s">
        <v>8</v>
      </c>
      <c r="D1651" s="2" t="s">
        <v>14</v>
      </c>
      <c r="E1651" s="2" t="s">
        <v>24</v>
      </c>
      <c r="F1651" s="4">
        <v>836.5</v>
      </c>
    </row>
    <row r="1652" spans="1:6" ht="15" thickBot="1" x14ac:dyDescent="0.35">
      <c r="A1652" s="3" t="s">
        <v>184</v>
      </c>
      <c r="B1652" s="2" t="s">
        <v>30</v>
      </c>
      <c r="C1652" s="2" t="s">
        <v>34</v>
      </c>
      <c r="D1652" s="2" t="s">
        <v>14</v>
      </c>
      <c r="E1652" s="2" t="s">
        <v>15</v>
      </c>
      <c r="F1652" s="4">
        <v>4095.46</v>
      </c>
    </row>
    <row r="1653" spans="1:6" ht="15" thickBot="1" x14ac:dyDescent="0.35">
      <c r="A1653" s="3" t="s">
        <v>109</v>
      </c>
      <c r="B1653" s="2" t="s">
        <v>12</v>
      </c>
      <c r="C1653" s="2" t="s">
        <v>23</v>
      </c>
      <c r="D1653" s="2" t="s">
        <v>28</v>
      </c>
      <c r="E1653" s="2" t="s">
        <v>15</v>
      </c>
      <c r="F1653" s="4">
        <v>3574.84</v>
      </c>
    </row>
    <row r="1654" spans="1:6" ht="15" thickBot="1" x14ac:dyDescent="0.35">
      <c r="A1654" s="3" t="s">
        <v>186</v>
      </c>
      <c r="B1654" s="2" t="s">
        <v>30</v>
      </c>
      <c r="C1654" s="2" t="s">
        <v>34</v>
      </c>
      <c r="D1654" s="2" t="s">
        <v>28</v>
      </c>
      <c r="E1654" s="2" t="s">
        <v>24</v>
      </c>
      <c r="F1654" s="4">
        <v>4705.34</v>
      </c>
    </row>
    <row r="1655" spans="1:6" ht="15" thickBot="1" x14ac:dyDescent="0.35">
      <c r="A1655" s="3" t="s">
        <v>177</v>
      </c>
      <c r="B1655" s="2" t="s">
        <v>7</v>
      </c>
      <c r="C1655" s="2" t="s">
        <v>13</v>
      </c>
      <c r="D1655" s="2" t="s">
        <v>14</v>
      </c>
      <c r="E1655" s="2" t="s">
        <v>24</v>
      </c>
      <c r="F1655" s="4">
        <v>4617.59</v>
      </c>
    </row>
    <row r="1656" spans="1:6" ht="15" thickBot="1" x14ac:dyDescent="0.35">
      <c r="A1656" s="3" t="s">
        <v>205</v>
      </c>
      <c r="B1656" s="2" t="s">
        <v>17</v>
      </c>
      <c r="C1656" s="2" t="s">
        <v>8</v>
      </c>
      <c r="D1656" s="2" t="s">
        <v>14</v>
      </c>
      <c r="E1656" s="2" t="s">
        <v>10</v>
      </c>
      <c r="F1656" s="4">
        <v>3378.57</v>
      </c>
    </row>
    <row r="1657" spans="1:6" ht="15" thickBot="1" x14ac:dyDescent="0.35">
      <c r="A1657" s="3" t="s">
        <v>18</v>
      </c>
      <c r="B1657" s="2" t="s">
        <v>19</v>
      </c>
      <c r="C1657" s="2" t="s">
        <v>23</v>
      </c>
      <c r="D1657" s="2" t="s">
        <v>28</v>
      </c>
      <c r="E1657" s="2" t="s">
        <v>10</v>
      </c>
      <c r="F1657" s="4">
        <v>1071.83</v>
      </c>
    </row>
    <row r="1658" spans="1:6" ht="15" thickBot="1" x14ac:dyDescent="0.35">
      <c r="A1658" s="3" t="s">
        <v>162</v>
      </c>
      <c r="B1658" s="2" t="s">
        <v>30</v>
      </c>
      <c r="C1658" s="2" t="s">
        <v>13</v>
      </c>
      <c r="D1658" s="2" t="s">
        <v>9</v>
      </c>
      <c r="E1658" s="2" t="s">
        <v>24</v>
      </c>
      <c r="F1658" s="4">
        <v>958.6543772</v>
      </c>
    </row>
    <row r="1659" spans="1:6" ht="15" thickBot="1" x14ac:dyDescent="0.35">
      <c r="A1659" s="3" t="s">
        <v>37</v>
      </c>
      <c r="B1659" s="2" t="s">
        <v>17</v>
      </c>
      <c r="C1659" s="2" t="s">
        <v>23</v>
      </c>
      <c r="D1659" s="2" t="s">
        <v>9</v>
      </c>
      <c r="E1659" s="2" t="s">
        <v>24</v>
      </c>
      <c r="F1659" s="4">
        <v>1194.635671</v>
      </c>
    </row>
    <row r="1660" spans="1:6" ht="15" thickBot="1" x14ac:dyDescent="0.35">
      <c r="A1660" s="3" t="s">
        <v>156</v>
      </c>
      <c r="B1660" s="2" t="s">
        <v>17</v>
      </c>
      <c r="C1660" s="2" t="s">
        <v>34</v>
      </c>
      <c r="D1660" s="2" t="s">
        <v>9</v>
      </c>
      <c r="E1660" s="2" t="s">
        <v>24</v>
      </c>
      <c r="F1660" s="4">
        <v>1366.7456500000001</v>
      </c>
    </row>
    <row r="1661" spans="1:6" ht="15" thickBot="1" x14ac:dyDescent="0.35">
      <c r="A1661" s="3" t="s">
        <v>65</v>
      </c>
      <c r="B1661" s="2" t="s">
        <v>30</v>
      </c>
      <c r="C1661" s="2" t="s">
        <v>23</v>
      </c>
      <c r="D1661" s="2" t="s">
        <v>14</v>
      </c>
      <c r="E1661" s="2" t="s">
        <v>15</v>
      </c>
      <c r="F1661" s="4">
        <v>1936.56</v>
      </c>
    </row>
    <row r="1662" spans="1:6" ht="15" thickBot="1" x14ac:dyDescent="0.35">
      <c r="A1662" s="3" t="s">
        <v>27</v>
      </c>
      <c r="B1662" s="2" t="s">
        <v>12</v>
      </c>
      <c r="C1662" s="2" t="s">
        <v>13</v>
      </c>
      <c r="D1662" s="2" t="s">
        <v>9</v>
      </c>
      <c r="E1662" s="2" t="s">
        <v>10</v>
      </c>
      <c r="F1662" s="4">
        <v>872.02317370000003</v>
      </c>
    </row>
    <row r="1663" spans="1:6" ht="15" thickBot="1" x14ac:dyDescent="0.35">
      <c r="A1663" s="3" t="s">
        <v>58</v>
      </c>
      <c r="B1663" s="2" t="s">
        <v>17</v>
      </c>
      <c r="C1663" s="2" t="s">
        <v>34</v>
      </c>
      <c r="D1663" s="2" t="s">
        <v>28</v>
      </c>
      <c r="E1663" s="2" t="s">
        <v>15</v>
      </c>
      <c r="F1663" s="4">
        <v>4730.6899999999996</v>
      </c>
    </row>
    <row r="1664" spans="1:6" ht="15" thickBot="1" x14ac:dyDescent="0.35">
      <c r="A1664" s="3" t="s">
        <v>96</v>
      </c>
      <c r="B1664" s="2" t="s">
        <v>19</v>
      </c>
      <c r="C1664" s="2" t="s">
        <v>13</v>
      </c>
      <c r="D1664" s="2" t="s">
        <v>9</v>
      </c>
      <c r="E1664" s="2" t="s">
        <v>10</v>
      </c>
      <c r="F1664" s="4">
        <v>3135.117119</v>
      </c>
    </row>
    <row r="1665" spans="1:6" ht="15" thickBot="1" x14ac:dyDescent="0.35">
      <c r="A1665" s="3" t="s">
        <v>190</v>
      </c>
      <c r="B1665" s="2" t="s">
        <v>17</v>
      </c>
      <c r="C1665" s="2" t="s">
        <v>23</v>
      </c>
      <c r="D1665" s="2" t="s">
        <v>9</v>
      </c>
      <c r="E1665" s="2" t="s">
        <v>15</v>
      </c>
      <c r="F1665" s="4">
        <v>1288.693927</v>
      </c>
    </row>
    <row r="1666" spans="1:6" ht="15" thickBot="1" x14ac:dyDescent="0.35">
      <c r="A1666" s="3" t="s">
        <v>66</v>
      </c>
      <c r="B1666" s="2" t="s">
        <v>30</v>
      </c>
      <c r="C1666" s="2" t="s">
        <v>8</v>
      </c>
      <c r="D1666" s="2" t="s">
        <v>14</v>
      </c>
      <c r="E1666" s="2" t="s">
        <v>10</v>
      </c>
      <c r="F1666" s="4">
        <v>3302.89</v>
      </c>
    </row>
    <row r="1667" spans="1:6" ht="15" thickBot="1" x14ac:dyDescent="0.35">
      <c r="A1667" s="3" t="s">
        <v>191</v>
      </c>
      <c r="B1667" s="2" t="s">
        <v>12</v>
      </c>
      <c r="C1667" s="2" t="s">
        <v>13</v>
      </c>
      <c r="D1667" s="2" t="s">
        <v>28</v>
      </c>
      <c r="E1667" s="2" t="s">
        <v>15</v>
      </c>
      <c r="F1667" s="4">
        <v>1167.23</v>
      </c>
    </row>
    <row r="1668" spans="1:6" ht="15" thickBot="1" x14ac:dyDescent="0.35">
      <c r="A1668" s="3" t="s">
        <v>33</v>
      </c>
      <c r="B1668" s="2" t="s">
        <v>19</v>
      </c>
      <c r="C1668" s="2" t="s">
        <v>34</v>
      </c>
      <c r="D1668" s="2" t="s">
        <v>9</v>
      </c>
      <c r="E1668" s="2" t="s">
        <v>10</v>
      </c>
      <c r="F1668" s="4">
        <v>1716.9930870000001</v>
      </c>
    </row>
    <row r="1669" spans="1:6" ht="15" thickBot="1" x14ac:dyDescent="0.35">
      <c r="A1669" s="3" t="s">
        <v>43</v>
      </c>
      <c r="B1669" s="2" t="s">
        <v>17</v>
      </c>
      <c r="C1669" s="2" t="s">
        <v>13</v>
      </c>
      <c r="D1669" s="2" t="s">
        <v>28</v>
      </c>
      <c r="E1669" s="2" t="s">
        <v>24</v>
      </c>
      <c r="F1669" s="4">
        <v>2018.44</v>
      </c>
    </row>
    <row r="1670" spans="1:6" ht="15" thickBot="1" x14ac:dyDescent="0.35">
      <c r="A1670" s="3" t="s">
        <v>122</v>
      </c>
      <c r="B1670" s="2" t="s">
        <v>19</v>
      </c>
      <c r="C1670" s="2" t="s">
        <v>23</v>
      </c>
      <c r="D1670" s="2" t="s">
        <v>9</v>
      </c>
      <c r="E1670" s="2" t="s">
        <v>10</v>
      </c>
      <c r="F1670" s="4">
        <v>5025.5408010000001</v>
      </c>
    </row>
    <row r="1671" spans="1:6" ht="15" thickBot="1" x14ac:dyDescent="0.35">
      <c r="A1671" s="3" t="s">
        <v>137</v>
      </c>
      <c r="B1671" s="2" t="s">
        <v>17</v>
      </c>
      <c r="C1671" s="2" t="s">
        <v>34</v>
      </c>
      <c r="D1671" s="2" t="s">
        <v>9</v>
      </c>
      <c r="E1671" s="2" t="s">
        <v>15</v>
      </c>
      <c r="F1671" s="4">
        <v>2513.2965159999999</v>
      </c>
    </row>
    <row r="1672" spans="1:6" ht="15" thickBot="1" x14ac:dyDescent="0.35">
      <c r="A1672" s="3" t="s">
        <v>166</v>
      </c>
      <c r="B1672" s="2" t="s">
        <v>7</v>
      </c>
      <c r="C1672" s="2" t="s">
        <v>8</v>
      </c>
      <c r="D1672" s="2" t="s">
        <v>14</v>
      </c>
      <c r="E1672" s="2" t="s">
        <v>15</v>
      </c>
      <c r="F1672" s="4">
        <v>2145.48</v>
      </c>
    </row>
    <row r="1673" spans="1:6" ht="15" thickBot="1" x14ac:dyDescent="0.35">
      <c r="A1673" s="3" t="s">
        <v>29</v>
      </c>
      <c r="B1673" s="2" t="s">
        <v>30</v>
      </c>
      <c r="C1673" s="2" t="s">
        <v>13</v>
      </c>
      <c r="D1673" s="2" t="s">
        <v>14</v>
      </c>
      <c r="E1673" s="2" t="s">
        <v>10</v>
      </c>
      <c r="F1673" s="4">
        <v>1701.79</v>
      </c>
    </row>
    <row r="1674" spans="1:6" ht="15" thickBot="1" x14ac:dyDescent="0.35">
      <c r="A1674" s="3" t="s">
        <v>99</v>
      </c>
      <c r="B1674" s="2" t="s">
        <v>19</v>
      </c>
      <c r="C1674" s="2" t="s">
        <v>34</v>
      </c>
      <c r="D1674" s="2" t="s">
        <v>28</v>
      </c>
      <c r="E1674" s="2" t="s">
        <v>15</v>
      </c>
      <c r="F1674" s="4">
        <v>1017.33</v>
      </c>
    </row>
    <row r="1675" spans="1:6" ht="15" thickBot="1" x14ac:dyDescent="0.35">
      <c r="A1675" s="3" t="s">
        <v>137</v>
      </c>
      <c r="B1675" s="2" t="s">
        <v>17</v>
      </c>
      <c r="C1675" s="2" t="s">
        <v>8</v>
      </c>
      <c r="D1675" s="2" t="s">
        <v>28</v>
      </c>
      <c r="E1675" s="2" t="s">
        <v>15</v>
      </c>
      <c r="F1675" s="4">
        <v>4417.58</v>
      </c>
    </row>
    <row r="1676" spans="1:6" ht="15" thickBot="1" x14ac:dyDescent="0.35">
      <c r="A1676" s="3" t="s">
        <v>25</v>
      </c>
      <c r="B1676" s="2" t="s">
        <v>19</v>
      </c>
      <c r="C1676" s="2" t="s">
        <v>8</v>
      </c>
      <c r="D1676" s="2" t="s">
        <v>14</v>
      </c>
      <c r="E1676" s="2" t="s">
        <v>10</v>
      </c>
      <c r="F1676" s="4">
        <v>2948.39</v>
      </c>
    </row>
    <row r="1677" spans="1:6" ht="15" thickBot="1" x14ac:dyDescent="0.35">
      <c r="A1677" s="3" t="s">
        <v>196</v>
      </c>
      <c r="B1677" s="2" t="s">
        <v>30</v>
      </c>
      <c r="C1677" s="2" t="s">
        <v>23</v>
      </c>
      <c r="D1677" s="2" t="s">
        <v>28</v>
      </c>
      <c r="E1677" s="2" t="s">
        <v>24</v>
      </c>
      <c r="F1677" s="4">
        <v>2543.38</v>
      </c>
    </row>
    <row r="1678" spans="1:6" ht="15" thickBot="1" x14ac:dyDescent="0.35">
      <c r="A1678" s="3" t="s">
        <v>160</v>
      </c>
      <c r="B1678" s="2" t="s">
        <v>30</v>
      </c>
      <c r="C1678" s="2" t="s">
        <v>13</v>
      </c>
      <c r="D1678" s="2" t="s">
        <v>9</v>
      </c>
      <c r="E1678" s="2" t="s">
        <v>15</v>
      </c>
      <c r="F1678" s="4">
        <v>3031.49</v>
      </c>
    </row>
    <row r="1679" spans="1:6" ht="15" thickBot="1" x14ac:dyDescent="0.35">
      <c r="A1679" s="3" t="s">
        <v>116</v>
      </c>
      <c r="B1679" s="2" t="s">
        <v>17</v>
      </c>
      <c r="C1679" s="2" t="s">
        <v>34</v>
      </c>
      <c r="D1679" s="2" t="s">
        <v>9</v>
      </c>
      <c r="E1679" s="2" t="s">
        <v>15</v>
      </c>
      <c r="F1679" s="4">
        <v>4209.3514340000002</v>
      </c>
    </row>
    <row r="1680" spans="1:6" ht="15" thickBot="1" x14ac:dyDescent="0.35">
      <c r="A1680" s="3" t="s">
        <v>119</v>
      </c>
      <c r="B1680" s="2" t="s">
        <v>30</v>
      </c>
      <c r="C1680" s="2" t="s">
        <v>8</v>
      </c>
      <c r="D1680" s="2" t="s">
        <v>14</v>
      </c>
      <c r="E1680" s="2" t="s">
        <v>24</v>
      </c>
      <c r="F1680" s="4">
        <v>3571.08</v>
      </c>
    </row>
    <row r="1681" spans="1:6" ht="15" thickBot="1" x14ac:dyDescent="0.35">
      <c r="A1681" s="3" t="s">
        <v>41</v>
      </c>
      <c r="B1681" s="2" t="s">
        <v>30</v>
      </c>
      <c r="C1681" s="2" t="s">
        <v>8</v>
      </c>
      <c r="D1681" s="2" t="s">
        <v>28</v>
      </c>
      <c r="E1681" s="2" t="s">
        <v>15</v>
      </c>
      <c r="F1681" s="4">
        <v>887.49</v>
      </c>
    </row>
    <row r="1682" spans="1:6" ht="15" thickBot="1" x14ac:dyDescent="0.35">
      <c r="A1682" s="3" t="s">
        <v>193</v>
      </c>
      <c r="B1682" s="2" t="s">
        <v>12</v>
      </c>
      <c r="C1682" s="2" t="s">
        <v>8</v>
      </c>
      <c r="D1682" s="2" t="s">
        <v>28</v>
      </c>
      <c r="E1682" s="2" t="s">
        <v>10</v>
      </c>
      <c r="F1682" s="4">
        <v>1618.49</v>
      </c>
    </row>
    <row r="1683" spans="1:6" ht="15" thickBot="1" x14ac:dyDescent="0.35">
      <c r="A1683" s="3" t="s">
        <v>152</v>
      </c>
      <c r="B1683" s="2" t="s">
        <v>30</v>
      </c>
      <c r="C1683" s="2" t="s">
        <v>8</v>
      </c>
      <c r="D1683" s="2" t="s">
        <v>9</v>
      </c>
      <c r="E1683" s="2" t="s">
        <v>10</v>
      </c>
      <c r="F1683" s="4">
        <v>4625.4638729999997</v>
      </c>
    </row>
    <row r="1684" spans="1:6" ht="15" thickBot="1" x14ac:dyDescent="0.35">
      <c r="A1684" s="3" t="s">
        <v>25</v>
      </c>
      <c r="B1684" s="2" t="s">
        <v>19</v>
      </c>
      <c r="C1684" s="2" t="s">
        <v>34</v>
      </c>
      <c r="D1684" s="2" t="s">
        <v>28</v>
      </c>
      <c r="E1684" s="2" t="s">
        <v>10</v>
      </c>
      <c r="F1684" s="4">
        <v>968.64</v>
      </c>
    </row>
    <row r="1685" spans="1:6" ht="15" thickBot="1" x14ac:dyDescent="0.35">
      <c r="A1685" s="3" t="s">
        <v>149</v>
      </c>
      <c r="B1685" s="2" t="s">
        <v>17</v>
      </c>
      <c r="C1685" s="2" t="s">
        <v>23</v>
      </c>
      <c r="D1685" s="2" t="s">
        <v>9</v>
      </c>
      <c r="E1685" s="2" t="s">
        <v>15</v>
      </c>
      <c r="F1685" s="4">
        <v>2182.0643799999998</v>
      </c>
    </row>
    <row r="1686" spans="1:6" ht="15" thickBot="1" x14ac:dyDescent="0.35">
      <c r="A1686" s="3" t="s">
        <v>103</v>
      </c>
      <c r="B1686" s="2" t="s">
        <v>19</v>
      </c>
      <c r="C1686" s="2" t="s">
        <v>23</v>
      </c>
      <c r="D1686" s="2" t="s">
        <v>9</v>
      </c>
      <c r="E1686" s="2" t="s">
        <v>24</v>
      </c>
      <c r="F1686" s="4">
        <v>2401.339125</v>
      </c>
    </row>
    <row r="1687" spans="1:6" ht="15" thickBot="1" x14ac:dyDescent="0.35">
      <c r="A1687" s="3" t="s">
        <v>69</v>
      </c>
      <c r="B1687" s="2" t="s">
        <v>7</v>
      </c>
      <c r="C1687" s="2" t="s">
        <v>34</v>
      </c>
      <c r="D1687" s="2" t="s">
        <v>9</v>
      </c>
      <c r="E1687" s="2" t="s">
        <v>10</v>
      </c>
      <c r="F1687" s="4">
        <v>1887.9748999999999</v>
      </c>
    </row>
    <row r="1688" spans="1:6" ht="15" thickBot="1" x14ac:dyDescent="0.35">
      <c r="A1688" s="3" t="s">
        <v>105</v>
      </c>
      <c r="B1688" s="2" t="s">
        <v>30</v>
      </c>
      <c r="C1688" s="2" t="s">
        <v>34</v>
      </c>
      <c r="D1688" s="2" t="s">
        <v>14</v>
      </c>
      <c r="E1688" s="2" t="s">
        <v>15</v>
      </c>
      <c r="F1688" s="4">
        <v>1740.85</v>
      </c>
    </row>
    <row r="1689" spans="1:6" ht="15" thickBot="1" x14ac:dyDescent="0.35">
      <c r="A1689" s="3" t="s">
        <v>92</v>
      </c>
      <c r="B1689" s="2" t="s">
        <v>30</v>
      </c>
      <c r="C1689" s="2" t="s">
        <v>8</v>
      </c>
      <c r="D1689" s="2" t="s">
        <v>9</v>
      </c>
      <c r="E1689" s="2" t="s">
        <v>24</v>
      </c>
      <c r="F1689" s="4">
        <v>4524.0168549999999</v>
      </c>
    </row>
    <row r="1690" spans="1:6" ht="15" thickBot="1" x14ac:dyDescent="0.35">
      <c r="A1690" s="3" t="s">
        <v>52</v>
      </c>
      <c r="B1690" s="2" t="s">
        <v>19</v>
      </c>
      <c r="C1690" s="2" t="s">
        <v>34</v>
      </c>
      <c r="D1690" s="2" t="s">
        <v>9</v>
      </c>
      <c r="E1690" s="2" t="s">
        <v>10</v>
      </c>
      <c r="F1690" s="4">
        <v>4975.538391</v>
      </c>
    </row>
    <row r="1691" spans="1:6" ht="15" thickBot="1" x14ac:dyDescent="0.35">
      <c r="A1691" s="3" t="s">
        <v>147</v>
      </c>
      <c r="B1691" s="2" t="s">
        <v>17</v>
      </c>
      <c r="C1691" s="2" t="s">
        <v>13</v>
      </c>
      <c r="D1691" s="2" t="s">
        <v>28</v>
      </c>
      <c r="E1691" s="2" t="s">
        <v>10</v>
      </c>
      <c r="F1691" s="4">
        <v>1573</v>
      </c>
    </row>
    <row r="1692" spans="1:6" ht="15" thickBot="1" x14ac:dyDescent="0.35">
      <c r="A1692" s="3" t="s">
        <v>213</v>
      </c>
      <c r="B1692" s="2" t="s">
        <v>12</v>
      </c>
      <c r="C1692" s="2" t="s">
        <v>34</v>
      </c>
      <c r="D1692" s="2" t="s">
        <v>28</v>
      </c>
      <c r="E1692" s="2" t="s">
        <v>10</v>
      </c>
      <c r="F1692" s="4">
        <v>1578.72</v>
      </c>
    </row>
    <row r="1693" spans="1:6" ht="15" thickBot="1" x14ac:dyDescent="0.35">
      <c r="A1693" s="3" t="s">
        <v>84</v>
      </c>
      <c r="B1693" s="2" t="s">
        <v>30</v>
      </c>
      <c r="C1693" s="2" t="s">
        <v>34</v>
      </c>
      <c r="D1693" s="2" t="s">
        <v>9</v>
      </c>
      <c r="E1693" s="2" t="s">
        <v>24</v>
      </c>
      <c r="F1693" s="4">
        <v>3818.4985240000001</v>
      </c>
    </row>
    <row r="1694" spans="1:6" ht="15" thickBot="1" x14ac:dyDescent="0.35">
      <c r="A1694" s="3" t="s">
        <v>76</v>
      </c>
      <c r="B1694" s="2" t="s">
        <v>17</v>
      </c>
      <c r="C1694" s="2" t="s">
        <v>23</v>
      </c>
      <c r="D1694" s="2" t="s">
        <v>28</v>
      </c>
      <c r="E1694" s="2" t="s">
        <v>24</v>
      </c>
      <c r="F1694" s="4">
        <v>2731.54</v>
      </c>
    </row>
    <row r="1695" spans="1:6" ht="15" thickBot="1" x14ac:dyDescent="0.35">
      <c r="A1695" s="3" t="s">
        <v>140</v>
      </c>
      <c r="B1695" s="2" t="s">
        <v>17</v>
      </c>
      <c r="C1695" s="2" t="s">
        <v>8</v>
      </c>
      <c r="D1695" s="2" t="s">
        <v>14</v>
      </c>
      <c r="E1695" s="2" t="s">
        <v>24</v>
      </c>
      <c r="F1695" s="4">
        <v>156.84</v>
      </c>
    </row>
    <row r="1696" spans="1:6" ht="15" thickBot="1" x14ac:dyDescent="0.35">
      <c r="A1696" s="3" t="s">
        <v>85</v>
      </c>
      <c r="B1696" s="2" t="s">
        <v>30</v>
      </c>
      <c r="C1696" s="2" t="s">
        <v>23</v>
      </c>
      <c r="D1696" s="2" t="s">
        <v>28</v>
      </c>
      <c r="E1696" s="2" t="s">
        <v>10</v>
      </c>
      <c r="F1696" s="4">
        <v>300.70999999999998</v>
      </c>
    </row>
    <row r="1697" spans="1:6" ht="15" thickBot="1" x14ac:dyDescent="0.35">
      <c r="A1697" s="3" t="s">
        <v>74</v>
      </c>
      <c r="B1697" s="2" t="s">
        <v>19</v>
      </c>
      <c r="C1697" s="2" t="s">
        <v>34</v>
      </c>
      <c r="D1697" s="2" t="s">
        <v>28</v>
      </c>
      <c r="E1697" s="2" t="s">
        <v>10</v>
      </c>
      <c r="F1697" s="4">
        <v>4929.3599999999997</v>
      </c>
    </row>
    <row r="1698" spans="1:6" ht="15" thickBot="1" x14ac:dyDescent="0.35">
      <c r="A1698" s="3" t="s">
        <v>108</v>
      </c>
      <c r="B1698" s="2" t="s">
        <v>7</v>
      </c>
      <c r="C1698" s="2" t="s">
        <v>13</v>
      </c>
      <c r="D1698" s="2" t="s">
        <v>9</v>
      </c>
      <c r="E1698" s="2" t="s">
        <v>10</v>
      </c>
      <c r="F1698" s="4">
        <v>2623.4664130000001</v>
      </c>
    </row>
    <row r="1699" spans="1:6" ht="15" thickBot="1" x14ac:dyDescent="0.35">
      <c r="A1699" s="3" t="s">
        <v>104</v>
      </c>
      <c r="B1699" s="2" t="s">
        <v>17</v>
      </c>
      <c r="C1699" s="2" t="s">
        <v>23</v>
      </c>
      <c r="D1699" s="2" t="s">
        <v>9</v>
      </c>
      <c r="E1699" s="2" t="s">
        <v>10</v>
      </c>
      <c r="F1699" s="4">
        <v>3247.07</v>
      </c>
    </row>
    <row r="1700" spans="1:6" ht="15" thickBot="1" x14ac:dyDescent="0.35">
      <c r="A1700" s="3" t="s">
        <v>156</v>
      </c>
      <c r="B1700" s="2" t="s">
        <v>17</v>
      </c>
      <c r="C1700" s="2" t="s">
        <v>23</v>
      </c>
      <c r="D1700" s="2" t="s">
        <v>28</v>
      </c>
      <c r="E1700" s="2" t="s">
        <v>24</v>
      </c>
      <c r="F1700" s="4">
        <v>1917.71</v>
      </c>
    </row>
    <row r="1701" spans="1:6" ht="15" thickBot="1" x14ac:dyDescent="0.35">
      <c r="A1701" s="3" t="s">
        <v>155</v>
      </c>
      <c r="B1701" s="2" t="s">
        <v>7</v>
      </c>
      <c r="C1701" s="2" t="s">
        <v>13</v>
      </c>
      <c r="D1701" s="2" t="s">
        <v>28</v>
      </c>
      <c r="E1701" s="2" t="s">
        <v>24</v>
      </c>
      <c r="F1701" s="4">
        <v>3841.45</v>
      </c>
    </row>
    <row r="1702" spans="1:6" ht="15" thickBot="1" x14ac:dyDescent="0.35">
      <c r="A1702" s="3" t="s">
        <v>121</v>
      </c>
      <c r="B1702" s="2" t="s">
        <v>30</v>
      </c>
      <c r="C1702" s="2" t="s">
        <v>34</v>
      </c>
      <c r="D1702" s="2" t="s">
        <v>28</v>
      </c>
      <c r="E1702" s="2" t="s">
        <v>10</v>
      </c>
      <c r="F1702" s="4">
        <v>4035.07</v>
      </c>
    </row>
    <row r="1703" spans="1:6" ht="15" thickBot="1" x14ac:dyDescent="0.35">
      <c r="A1703" s="3" t="s">
        <v>175</v>
      </c>
      <c r="B1703" s="2" t="s">
        <v>7</v>
      </c>
      <c r="C1703" s="2" t="s">
        <v>34</v>
      </c>
      <c r="D1703" s="2" t="s">
        <v>14</v>
      </c>
      <c r="E1703" s="2" t="s">
        <v>15</v>
      </c>
      <c r="F1703" s="4">
        <v>3477.6</v>
      </c>
    </row>
    <row r="1704" spans="1:6" ht="15" thickBot="1" x14ac:dyDescent="0.35">
      <c r="A1704" s="3" t="s">
        <v>186</v>
      </c>
      <c r="B1704" s="2" t="s">
        <v>30</v>
      </c>
      <c r="C1704" s="2" t="s">
        <v>8</v>
      </c>
      <c r="D1704" s="2" t="s">
        <v>14</v>
      </c>
      <c r="E1704" s="2" t="s">
        <v>24</v>
      </c>
      <c r="F1704" s="4">
        <v>1743.67</v>
      </c>
    </row>
    <row r="1705" spans="1:6" ht="15" thickBot="1" x14ac:dyDescent="0.35">
      <c r="A1705" s="3" t="s">
        <v>111</v>
      </c>
      <c r="B1705" s="2" t="s">
        <v>19</v>
      </c>
      <c r="C1705" s="2" t="s">
        <v>8</v>
      </c>
      <c r="D1705" s="2" t="s">
        <v>9</v>
      </c>
      <c r="E1705" s="2" t="s">
        <v>24</v>
      </c>
      <c r="F1705" s="4">
        <v>2351.4377829999999</v>
      </c>
    </row>
    <row r="1706" spans="1:6" ht="15" thickBot="1" x14ac:dyDescent="0.35">
      <c r="A1706" s="3" t="s">
        <v>211</v>
      </c>
      <c r="B1706" s="2" t="s">
        <v>7</v>
      </c>
      <c r="C1706" s="2" t="s">
        <v>8</v>
      </c>
      <c r="D1706" s="2" t="s">
        <v>14</v>
      </c>
      <c r="E1706" s="2" t="s">
        <v>10</v>
      </c>
      <c r="F1706" s="4">
        <v>4335.1400000000003</v>
      </c>
    </row>
    <row r="1707" spans="1:6" ht="15" thickBot="1" x14ac:dyDescent="0.35">
      <c r="A1707" s="3" t="s">
        <v>76</v>
      </c>
      <c r="B1707" s="2" t="s">
        <v>17</v>
      </c>
      <c r="C1707" s="2" t="s">
        <v>8</v>
      </c>
      <c r="D1707" s="2" t="s">
        <v>28</v>
      </c>
      <c r="E1707" s="2" t="s">
        <v>15</v>
      </c>
      <c r="F1707" s="4">
        <v>4697.66</v>
      </c>
    </row>
    <row r="1708" spans="1:6" ht="15" thickBot="1" x14ac:dyDescent="0.35">
      <c r="A1708" s="3" t="s">
        <v>114</v>
      </c>
      <c r="B1708" s="2" t="s">
        <v>30</v>
      </c>
      <c r="C1708" s="2" t="s">
        <v>23</v>
      </c>
      <c r="D1708" s="2" t="s">
        <v>28</v>
      </c>
      <c r="E1708" s="2" t="s">
        <v>15</v>
      </c>
      <c r="F1708" s="4">
        <v>3378.49</v>
      </c>
    </row>
    <row r="1709" spans="1:6" ht="15" thickBot="1" x14ac:dyDescent="0.35">
      <c r="A1709" s="3" t="s">
        <v>78</v>
      </c>
      <c r="B1709" s="2" t="s">
        <v>7</v>
      </c>
      <c r="C1709" s="2" t="s">
        <v>34</v>
      </c>
      <c r="D1709" s="2" t="s">
        <v>14</v>
      </c>
      <c r="E1709" s="2" t="s">
        <v>10</v>
      </c>
      <c r="F1709" s="4">
        <v>4068.86</v>
      </c>
    </row>
    <row r="1710" spans="1:6" ht="15" thickBot="1" x14ac:dyDescent="0.35">
      <c r="A1710" s="3" t="s">
        <v>44</v>
      </c>
      <c r="B1710" s="2" t="s">
        <v>19</v>
      </c>
      <c r="C1710" s="2" t="s">
        <v>34</v>
      </c>
      <c r="D1710" s="2" t="s">
        <v>9</v>
      </c>
      <c r="E1710" s="2" t="s">
        <v>10</v>
      </c>
      <c r="F1710" s="4">
        <v>4658.5376130000004</v>
      </c>
    </row>
    <row r="1711" spans="1:6" ht="15" thickBot="1" x14ac:dyDescent="0.35">
      <c r="A1711" s="3" t="s">
        <v>80</v>
      </c>
      <c r="B1711" s="2" t="s">
        <v>17</v>
      </c>
      <c r="C1711" s="2" t="s">
        <v>8</v>
      </c>
      <c r="D1711" s="2" t="s">
        <v>9</v>
      </c>
      <c r="E1711" s="2" t="s">
        <v>10</v>
      </c>
      <c r="F1711" s="4">
        <v>3516.4541060000001</v>
      </c>
    </row>
    <row r="1712" spans="1:6" ht="15" thickBot="1" x14ac:dyDescent="0.35">
      <c r="A1712" s="3" t="s">
        <v>81</v>
      </c>
      <c r="B1712" s="2" t="s">
        <v>12</v>
      </c>
      <c r="C1712" s="2" t="s">
        <v>34</v>
      </c>
      <c r="D1712" s="2" t="s">
        <v>9</v>
      </c>
      <c r="E1712" s="2" t="s">
        <v>15</v>
      </c>
      <c r="F1712" s="4">
        <v>3133.8255669999999</v>
      </c>
    </row>
    <row r="1713" spans="1:6" ht="15" thickBot="1" x14ac:dyDescent="0.35">
      <c r="A1713" s="3" t="s">
        <v>29</v>
      </c>
      <c r="B1713" s="2" t="s">
        <v>30</v>
      </c>
      <c r="C1713" s="2" t="s">
        <v>13</v>
      </c>
      <c r="D1713" s="2" t="s">
        <v>28</v>
      </c>
      <c r="E1713" s="2" t="s">
        <v>15</v>
      </c>
      <c r="F1713" s="4">
        <v>1951.82</v>
      </c>
    </row>
    <row r="1714" spans="1:6" ht="15" thickBot="1" x14ac:dyDescent="0.35">
      <c r="A1714" s="3" t="s">
        <v>123</v>
      </c>
      <c r="B1714" s="2" t="s">
        <v>30</v>
      </c>
      <c r="C1714" s="2" t="s">
        <v>34</v>
      </c>
      <c r="D1714" s="2" t="s">
        <v>9</v>
      </c>
      <c r="E1714" s="2" t="s">
        <v>10</v>
      </c>
      <c r="F1714" s="4">
        <v>2056.02</v>
      </c>
    </row>
    <row r="1715" spans="1:6" ht="15" thickBot="1" x14ac:dyDescent="0.35">
      <c r="A1715" s="3" t="s">
        <v>62</v>
      </c>
      <c r="B1715" s="2" t="s">
        <v>30</v>
      </c>
      <c r="C1715" s="2" t="s">
        <v>23</v>
      </c>
      <c r="D1715" s="2" t="s">
        <v>14</v>
      </c>
      <c r="E1715" s="2" t="s">
        <v>10</v>
      </c>
      <c r="F1715" s="4">
        <v>377.76</v>
      </c>
    </row>
    <row r="1716" spans="1:6" ht="15" thickBot="1" x14ac:dyDescent="0.35">
      <c r="A1716" s="3" t="s">
        <v>183</v>
      </c>
      <c r="B1716" s="2" t="s">
        <v>7</v>
      </c>
      <c r="C1716" s="2" t="s">
        <v>8</v>
      </c>
      <c r="D1716" s="2" t="s">
        <v>14</v>
      </c>
      <c r="E1716" s="2" t="s">
        <v>24</v>
      </c>
      <c r="F1716" s="4">
        <v>4676.8</v>
      </c>
    </row>
    <row r="1717" spans="1:6" ht="15" thickBot="1" x14ac:dyDescent="0.35">
      <c r="A1717" s="3" t="s">
        <v>198</v>
      </c>
      <c r="B1717" s="2" t="s">
        <v>12</v>
      </c>
      <c r="C1717" s="2" t="s">
        <v>23</v>
      </c>
      <c r="D1717" s="2" t="s">
        <v>9</v>
      </c>
      <c r="E1717" s="2" t="s">
        <v>15</v>
      </c>
      <c r="F1717" s="4">
        <v>3984.4592120000002</v>
      </c>
    </row>
    <row r="1718" spans="1:6" ht="15" thickBot="1" x14ac:dyDescent="0.35">
      <c r="A1718" s="3" t="s">
        <v>205</v>
      </c>
      <c r="B1718" s="2" t="s">
        <v>17</v>
      </c>
      <c r="C1718" s="2" t="s">
        <v>13</v>
      </c>
      <c r="D1718" s="2" t="s">
        <v>9</v>
      </c>
      <c r="E1718" s="2" t="s">
        <v>15</v>
      </c>
      <c r="F1718" s="4">
        <v>1346.6818989999999</v>
      </c>
    </row>
    <row r="1719" spans="1:6" ht="15" thickBot="1" x14ac:dyDescent="0.35">
      <c r="A1719" s="3" t="s">
        <v>126</v>
      </c>
      <c r="B1719" s="2" t="s">
        <v>30</v>
      </c>
      <c r="C1719" s="2" t="s">
        <v>13</v>
      </c>
      <c r="D1719" s="2" t="s">
        <v>9</v>
      </c>
      <c r="E1719" s="2" t="s">
        <v>24</v>
      </c>
      <c r="F1719" s="4">
        <v>4869.82</v>
      </c>
    </row>
    <row r="1720" spans="1:6" ht="15" thickBot="1" x14ac:dyDescent="0.35">
      <c r="A1720" s="3" t="s">
        <v>183</v>
      </c>
      <c r="B1720" s="2" t="s">
        <v>7</v>
      </c>
      <c r="C1720" s="2" t="s">
        <v>34</v>
      </c>
      <c r="D1720" s="2" t="s">
        <v>9</v>
      </c>
      <c r="E1720" s="2" t="s">
        <v>15</v>
      </c>
      <c r="F1720" s="4">
        <v>2329.0853659999998</v>
      </c>
    </row>
    <row r="1721" spans="1:6" ht="15" thickBot="1" x14ac:dyDescent="0.35">
      <c r="A1721" s="3" t="s">
        <v>217</v>
      </c>
      <c r="B1721" s="2" t="s">
        <v>19</v>
      </c>
      <c r="C1721" s="2" t="s">
        <v>8</v>
      </c>
      <c r="D1721" s="2" t="s">
        <v>9</v>
      </c>
      <c r="E1721" s="2" t="s">
        <v>15</v>
      </c>
      <c r="F1721" s="4">
        <v>4828.6000519999998</v>
      </c>
    </row>
    <row r="1722" spans="1:6" ht="15" thickBot="1" x14ac:dyDescent="0.35">
      <c r="A1722" s="3" t="s">
        <v>130</v>
      </c>
      <c r="B1722" s="2" t="s">
        <v>12</v>
      </c>
      <c r="C1722" s="2" t="s">
        <v>8</v>
      </c>
      <c r="D1722" s="2" t="s">
        <v>28</v>
      </c>
      <c r="E1722" s="2" t="s">
        <v>10</v>
      </c>
      <c r="F1722" s="4">
        <v>3423.67</v>
      </c>
    </row>
    <row r="1723" spans="1:6" ht="15" thickBot="1" x14ac:dyDescent="0.35">
      <c r="A1723" s="3" t="s">
        <v>198</v>
      </c>
      <c r="B1723" s="2" t="s">
        <v>12</v>
      </c>
      <c r="C1723" s="2" t="s">
        <v>34</v>
      </c>
      <c r="D1723" s="2" t="s">
        <v>14</v>
      </c>
      <c r="E1723" s="2" t="s">
        <v>10</v>
      </c>
      <c r="F1723" s="4">
        <v>2957.49</v>
      </c>
    </row>
    <row r="1724" spans="1:6" ht="15" thickBot="1" x14ac:dyDescent="0.35">
      <c r="A1724" s="3" t="s">
        <v>197</v>
      </c>
      <c r="B1724" s="2" t="s">
        <v>30</v>
      </c>
      <c r="C1724" s="2" t="s">
        <v>13</v>
      </c>
      <c r="D1724" s="2" t="s">
        <v>14</v>
      </c>
      <c r="E1724" s="2" t="s">
        <v>15</v>
      </c>
      <c r="F1724" s="4">
        <v>3128.34</v>
      </c>
    </row>
    <row r="1725" spans="1:6" ht="15" thickBot="1" x14ac:dyDescent="0.35">
      <c r="A1725" s="3" t="s">
        <v>122</v>
      </c>
      <c r="B1725" s="2" t="s">
        <v>19</v>
      </c>
      <c r="C1725" s="2" t="s">
        <v>34</v>
      </c>
      <c r="D1725" s="2" t="s">
        <v>9</v>
      </c>
      <c r="E1725" s="2" t="s">
        <v>24</v>
      </c>
      <c r="F1725" s="4">
        <v>4548.0730679999997</v>
      </c>
    </row>
    <row r="1726" spans="1:6" ht="15" thickBot="1" x14ac:dyDescent="0.35">
      <c r="A1726" s="3" t="s">
        <v>165</v>
      </c>
      <c r="B1726" s="2" t="s">
        <v>7</v>
      </c>
      <c r="C1726" s="2" t="s">
        <v>23</v>
      </c>
      <c r="D1726" s="2" t="s">
        <v>14</v>
      </c>
      <c r="E1726" s="2" t="s">
        <v>15</v>
      </c>
      <c r="F1726" s="4">
        <v>3929.66</v>
      </c>
    </row>
    <row r="1727" spans="1:6" ht="15" thickBot="1" x14ac:dyDescent="0.35">
      <c r="A1727" s="3" t="s">
        <v>123</v>
      </c>
      <c r="B1727" s="2" t="s">
        <v>30</v>
      </c>
      <c r="C1727" s="2" t="s">
        <v>13</v>
      </c>
      <c r="D1727" s="2" t="s">
        <v>9</v>
      </c>
      <c r="E1727" s="2" t="s">
        <v>10</v>
      </c>
      <c r="F1727" s="4">
        <v>3790.62</v>
      </c>
    </row>
    <row r="1728" spans="1:6" ht="15" thickBot="1" x14ac:dyDescent="0.35">
      <c r="A1728" s="3" t="s">
        <v>142</v>
      </c>
      <c r="B1728" s="2" t="s">
        <v>17</v>
      </c>
      <c r="C1728" s="2" t="s">
        <v>13</v>
      </c>
      <c r="D1728" s="2" t="s">
        <v>28</v>
      </c>
      <c r="E1728" s="2" t="s">
        <v>24</v>
      </c>
      <c r="F1728" s="4">
        <v>4480.07</v>
      </c>
    </row>
    <row r="1729" spans="1:6" ht="15" thickBot="1" x14ac:dyDescent="0.35">
      <c r="A1729" s="3" t="s">
        <v>62</v>
      </c>
      <c r="B1729" s="2" t="s">
        <v>30</v>
      </c>
      <c r="C1729" s="2" t="s">
        <v>23</v>
      </c>
      <c r="D1729" s="2" t="s">
        <v>28</v>
      </c>
      <c r="E1729" s="2" t="s">
        <v>10</v>
      </c>
      <c r="F1729" s="4">
        <v>4123.79</v>
      </c>
    </row>
    <row r="1730" spans="1:6" ht="15" thickBot="1" x14ac:dyDescent="0.35">
      <c r="A1730" s="3" t="s">
        <v>90</v>
      </c>
      <c r="B1730" s="2" t="s">
        <v>19</v>
      </c>
      <c r="C1730" s="2" t="s">
        <v>13</v>
      </c>
      <c r="D1730" s="2" t="s">
        <v>14</v>
      </c>
      <c r="E1730" s="2" t="s">
        <v>10</v>
      </c>
      <c r="F1730" s="4">
        <v>100.8</v>
      </c>
    </row>
    <row r="1731" spans="1:6" ht="15" thickBot="1" x14ac:dyDescent="0.35">
      <c r="A1731" s="3" t="s">
        <v>100</v>
      </c>
      <c r="B1731" s="2" t="s">
        <v>7</v>
      </c>
      <c r="C1731" s="2" t="s">
        <v>23</v>
      </c>
      <c r="D1731" s="2" t="s">
        <v>28</v>
      </c>
      <c r="E1731" s="2" t="s">
        <v>10</v>
      </c>
      <c r="F1731" s="4">
        <v>4783.3999999999996</v>
      </c>
    </row>
    <row r="1732" spans="1:6" ht="15" thickBot="1" x14ac:dyDescent="0.35">
      <c r="A1732" s="3" t="s">
        <v>131</v>
      </c>
      <c r="B1732" s="2" t="s">
        <v>17</v>
      </c>
      <c r="C1732" s="2" t="s">
        <v>23</v>
      </c>
      <c r="D1732" s="2" t="s">
        <v>9</v>
      </c>
      <c r="E1732" s="2" t="s">
        <v>10</v>
      </c>
      <c r="F1732" s="4">
        <v>2568.5214700000001</v>
      </c>
    </row>
    <row r="1733" spans="1:6" ht="15" thickBot="1" x14ac:dyDescent="0.35">
      <c r="A1733" s="3" t="s">
        <v>49</v>
      </c>
      <c r="B1733" s="2" t="s">
        <v>19</v>
      </c>
      <c r="C1733" s="2" t="s">
        <v>13</v>
      </c>
      <c r="D1733" s="2" t="s">
        <v>28</v>
      </c>
      <c r="E1733" s="2" t="s">
        <v>15</v>
      </c>
      <c r="F1733" s="4">
        <v>246.64</v>
      </c>
    </row>
    <row r="1734" spans="1:6" ht="15" thickBot="1" x14ac:dyDescent="0.35">
      <c r="A1734" s="3" t="s">
        <v>71</v>
      </c>
      <c r="B1734" s="2" t="s">
        <v>7</v>
      </c>
      <c r="C1734" s="2" t="s">
        <v>8</v>
      </c>
      <c r="D1734" s="2" t="s">
        <v>14</v>
      </c>
      <c r="E1734" s="2" t="s">
        <v>15</v>
      </c>
      <c r="F1734" s="4">
        <v>498.61</v>
      </c>
    </row>
    <row r="1735" spans="1:6" ht="15" thickBot="1" x14ac:dyDescent="0.35">
      <c r="A1735" s="3" t="s">
        <v>139</v>
      </c>
      <c r="B1735" s="2" t="s">
        <v>7</v>
      </c>
      <c r="C1735" s="2" t="s">
        <v>8</v>
      </c>
      <c r="D1735" s="2" t="s">
        <v>14</v>
      </c>
      <c r="E1735" s="2" t="s">
        <v>10</v>
      </c>
      <c r="F1735" s="4">
        <v>3705.73</v>
      </c>
    </row>
    <row r="1736" spans="1:6" ht="15" thickBot="1" x14ac:dyDescent="0.35">
      <c r="A1736" s="3" t="s">
        <v>170</v>
      </c>
      <c r="B1736" s="2" t="s">
        <v>12</v>
      </c>
      <c r="C1736" s="2" t="s">
        <v>23</v>
      </c>
      <c r="D1736" s="2" t="s">
        <v>28</v>
      </c>
      <c r="E1736" s="2" t="s">
        <v>24</v>
      </c>
      <c r="F1736" s="4">
        <v>470.38</v>
      </c>
    </row>
    <row r="1737" spans="1:6" ht="15" thickBot="1" x14ac:dyDescent="0.35">
      <c r="A1737" s="3" t="s">
        <v>157</v>
      </c>
      <c r="B1737" s="2" t="s">
        <v>30</v>
      </c>
      <c r="C1737" s="2" t="s">
        <v>23</v>
      </c>
      <c r="D1737" s="2" t="s">
        <v>28</v>
      </c>
      <c r="E1737" s="2" t="s">
        <v>10</v>
      </c>
      <c r="F1737" s="4">
        <v>2355.87</v>
      </c>
    </row>
    <row r="1738" spans="1:6" ht="15" thickBot="1" x14ac:dyDescent="0.35">
      <c r="A1738" s="3" t="s">
        <v>179</v>
      </c>
      <c r="B1738" s="2" t="s">
        <v>7</v>
      </c>
      <c r="C1738" s="2" t="s">
        <v>13</v>
      </c>
      <c r="D1738" s="2" t="s">
        <v>14</v>
      </c>
      <c r="E1738" s="2" t="s">
        <v>10</v>
      </c>
      <c r="F1738" s="4">
        <v>484.51</v>
      </c>
    </row>
    <row r="1739" spans="1:6" ht="15" thickBot="1" x14ac:dyDescent="0.35">
      <c r="A1739" s="3" t="s">
        <v>18</v>
      </c>
      <c r="B1739" s="2" t="s">
        <v>19</v>
      </c>
      <c r="C1739" s="2" t="s">
        <v>23</v>
      </c>
      <c r="D1739" s="2" t="s">
        <v>14</v>
      </c>
      <c r="E1739" s="2" t="s">
        <v>15</v>
      </c>
      <c r="F1739" s="4">
        <v>3299.33</v>
      </c>
    </row>
    <row r="1740" spans="1:6" ht="15" thickBot="1" x14ac:dyDescent="0.35">
      <c r="A1740" s="3" t="s">
        <v>110</v>
      </c>
      <c r="B1740" s="2" t="s">
        <v>12</v>
      </c>
      <c r="C1740" s="2" t="s">
        <v>34</v>
      </c>
      <c r="D1740" s="2" t="s">
        <v>28</v>
      </c>
      <c r="E1740" s="2" t="s">
        <v>10</v>
      </c>
      <c r="F1740" s="4">
        <v>3312.29</v>
      </c>
    </row>
    <row r="1741" spans="1:6" ht="15" thickBot="1" x14ac:dyDescent="0.35">
      <c r="A1741" s="3" t="s">
        <v>93</v>
      </c>
      <c r="B1741" s="2" t="s">
        <v>30</v>
      </c>
      <c r="C1741" s="2" t="s">
        <v>8</v>
      </c>
      <c r="D1741" s="2" t="s">
        <v>28</v>
      </c>
      <c r="E1741" s="2" t="s">
        <v>15</v>
      </c>
      <c r="F1741" s="4">
        <v>2017.59</v>
      </c>
    </row>
    <row r="1742" spans="1:6" ht="15" thickBot="1" x14ac:dyDescent="0.35">
      <c r="A1742" s="3" t="s">
        <v>95</v>
      </c>
      <c r="B1742" s="2" t="s">
        <v>30</v>
      </c>
      <c r="C1742" s="2" t="s">
        <v>34</v>
      </c>
      <c r="D1742" s="2" t="s">
        <v>9</v>
      </c>
      <c r="E1742" s="2" t="s">
        <v>10</v>
      </c>
      <c r="F1742" s="4">
        <v>3564.2129300000001</v>
      </c>
    </row>
    <row r="1743" spans="1:6" ht="15" thickBot="1" x14ac:dyDescent="0.35">
      <c r="A1743" s="3" t="s">
        <v>122</v>
      </c>
      <c r="B1743" s="2" t="s">
        <v>19</v>
      </c>
      <c r="C1743" s="2" t="s">
        <v>13</v>
      </c>
      <c r="D1743" s="2" t="s">
        <v>9</v>
      </c>
      <c r="E1743" s="2" t="s">
        <v>24</v>
      </c>
      <c r="F1743" s="4">
        <v>4913.537131</v>
      </c>
    </row>
    <row r="1744" spans="1:6" ht="15" thickBot="1" x14ac:dyDescent="0.35">
      <c r="A1744" s="3" t="s">
        <v>184</v>
      </c>
      <c r="B1744" s="2" t="s">
        <v>30</v>
      </c>
      <c r="C1744" s="2" t="s">
        <v>34</v>
      </c>
      <c r="D1744" s="2" t="s">
        <v>9</v>
      </c>
      <c r="E1744" s="2" t="s">
        <v>10</v>
      </c>
      <c r="F1744" s="4">
        <v>1184.85844</v>
      </c>
    </row>
    <row r="1745" spans="1:6" ht="15" thickBot="1" x14ac:dyDescent="0.35">
      <c r="A1745" s="3" t="s">
        <v>6</v>
      </c>
      <c r="B1745" s="2" t="s">
        <v>7</v>
      </c>
      <c r="C1745" s="2" t="s">
        <v>34</v>
      </c>
      <c r="D1745" s="2" t="s">
        <v>14</v>
      </c>
      <c r="E1745" s="2" t="s">
        <v>24</v>
      </c>
      <c r="F1745" s="4">
        <v>3845.16</v>
      </c>
    </row>
    <row r="1746" spans="1:6" ht="15" thickBot="1" x14ac:dyDescent="0.35">
      <c r="A1746" s="3" t="s">
        <v>55</v>
      </c>
      <c r="B1746" s="2" t="s">
        <v>12</v>
      </c>
      <c r="C1746" s="2" t="s">
        <v>34</v>
      </c>
      <c r="D1746" s="2" t="s">
        <v>28</v>
      </c>
      <c r="E1746" s="2" t="s">
        <v>10</v>
      </c>
      <c r="F1746" s="4">
        <v>2288.2800000000002</v>
      </c>
    </row>
    <row r="1747" spans="1:6" ht="15" thickBot="1" x14ac:dyDescent="0.35">
      <c r="A1747" s="3" t="s">
        <v>57</v>
      </c>
      <c r="B1747" s="2" t="s">
        <v>19</v>
      </c>
      <c r="C1747" s="2" t="s">
        <v>34</v>
      </c>
      <c r="D1747" s="2" t="s">
        <v>28</v>
      </c>
      <c r="E1747" s="2" t="s">
        <v>15</v>
      </c>
      <c r="F1747" s="4">
        <v>751.28</v>
      </c>
    </row>
    <row r="1748" spans="1:6" ht="15" thickBot="1" x14ac:dyDescent="0.35">
      <c r="A1748" s="3" t="s">
        <v>133</v>
      </c>
      <c r="B1748" s="2" t="s">
        <v>17</v>
      </c>
      <c r="C1748" s="2" t="s">
        <v>34</v>
      </c>
      <c r="D1748" s="2" t="s">
        <v>28</v>
      </c>
      <c r="E1748" s="2" t="s">
        <v>24</v>
      </c>
      <c r="F1748" s="4">
        <v>2159.65</v>
      </c>
    </row>
    <row r="1749" spans="1:6" ht="15" thickBot="1" x14ac:dyDescent="0.35">
      <c r="A1749" s="3" t="s">
        <v>115</v>
      </c>
      <c r="B1749" s="2" t="s">
        <v>19</v>
      </c>
      <c r="C1749" s="2" t="s">
        <v>34</v>
      </c>
      <c r="D1749" s="2" t="s">
        <v>28</v>
      </c>
      <c r="E1749" s="2" t="s">
        <v>15</v>
      </c>
      <c r="F1749" s="4">
        <v>3251.65</v>
      </c>
    </row>
    <row r="1750" spans="1:6" ht="15" thickBot="1" x14ac:dyDescent="0.35">
      <c r="A1750" s="3" t="s">
        <v>140</v>
      </c>
      <c r="B1750" s="2" t="s">
        <v>17</v>
      </c>
      <c r="C1750" s="2" t="s">
        <v>23</v>
      </c>
      <c r="D1750" s="2" t="s">
        <v>9</v>
      </c>
      <c r="E1750" s="2" t="s">
        <v>24</v>
      </c>
      <c r="F1750" s="4">
        <v>4889.7534070000002</v>
      </c>
    </row>
    <row r="1751" spans="1:6" ht="15" thickBot="1" x14ac:dyDescent="0.35">
      <c r="A1751" s="3" t="s">
        <v>174</v>
      </c>
      <c r="B1751" s="2" t="s">
        <v>19</v>
      </c>
      <c r="C1751" s="2" t="s">
        <v>23</v>
      </c>
      <c r="D1751" s="2" t="s">
        <v>28</v>
      </c>
      <c r="E1751" s="2" t="s">
        <v>10</v>
      </c>
      <c r="F1751" s="4">
        <v>608.37</v>
      </c>
    </row>
    <row r="1752" spans="1:6" ht="15" thickBot="1" x14ac:dyDescent="0.35">
      <c r="A1752" s="3" t="s">
        <v>55</v>
      </c>
      <c r="B1752" s="2" t="s">
        <v>12</v>
      </c>
      <c r="C1752" s="2" t="s">
        <v>13</v>
      </c>
      <c r="D1752" s="2" t="s">
        <v>9</v>
      </c>
      <c r="E1752" s="2" t="s">
        <v>10</v>
      </c>
      <c r="F1752" s="4">
        <v>3246.9869779999999</v>
      </c>
    </row>
    <row r="1753" spans="1:6" ht="15" thickBot="1" x14ac:dyDescent="0.35">
      <c r="A1753" s="3" t="s">
        <v>37</v>
      </c>
      <c r="B1753" s="2" t="s">
        <v>17</v>
      </c>
      <c r="C1753" s="2" t="s">
        <v>34</v>
      </c>
      <c r="D1753" s="2" t="s">
        <v>14</v>
      </c>
      <c r="E1753" s="2" t="s">
        <v>10</v>
      </c>
      <c r="F1753" s="4">
        <v>4214.38</v>
      </c>
    </row>
    <row r="1754" spans="1:6" ht="15" thickBot="1" x14ac:dyDescent="0.35">
      <c r="A1754" s="3" t="s">
        <v>27</v>
      </c>
      <c r="B1754" s="2" t="s">
        <v>12</v>
      </c>
      <c r="C1754" s="2" t="s">
        <v>13</v>
      </c>
      <c r="D1754" s="2" t="s">
        <v>28</v>
      </c>
      <c r="E1754" s="2" t="s">
        <v>10</v>
      </c>
      <c r="F1754" s="4">
        <v>2178.11</v>
      </c>
    </row>
    <row r="1755" spans="1:6" ht="15" thickBot="1" x14ac:dyDescent="0.35">
      <c r="A1755" s="3" t="s">
        <v>58</v>
      </c>
      <c r="B1755" s="2" t="s">
        <v>17</v>
      </c>
      <c r="C1755" s="2" t="s">
        <v>23</v>
      </c>
      <c r="D1755" s="2" t="s">
        <v>28</v>
      </c>
      <c r="E1755" s="2" t="s">
        <v>10</v>
      </c>
      <c r="F1755" s="4">
        <v>4250.24</v>
      </c>
    </row>
    <row r="1756" spans="1:6" ht="15" thickBot="1" x14ac:dyDescent="0.35">
      <c r="A1756" s="3" t="s">
        <v>157</v>
      </c>
      <c r="B1756" s="2" t="s">
        <v>30</v>
      </c>
      <c r="C1756" s="2" t="s">
        <v>34</v>
      </c>
      <c r="D1756" s="2" t="s">
        <v>14</v>
      </c>
      <c r="E1756" s="2" t="s">
        <v>10</v>
      </c>
      <c r="F1756" s="4">
        <v>1294.92</v>
      </c>
    </row>
    <row r="1757" spans="1:6" ht="15" thickBot="1" x14ac:dyDescent="0.35">
      <c r="A1757" s="3" t="s">
        <v>140</v>
      </c>
      <c r="B1757" s="2" t="s">
        <v>17</v>
      </c>
      <c r="C1757" s="2" t="s">
        <v>13</v>
      </c>
      <c r="D1757" s="2" t="s">
        <v>14</v>
      </c>
      <c r="E1757" s="2" t="s">
        <v>24</v>
      </c>
      <c r="F1757" s="4">
        <v>498.85</v>
      </c>
    </row>
    <row r="1758" spans="1:6" ht="15" thickBot="1" x14ac:dyDescent="0.35">
      <c r="A1758" s="3" t="s">
        <v>63</v>
      </c>
      <c r="B1758" s="2" t="s">
        <v>12</v>
      </c>
      <c r="C1758" s="2" t="s">
        <v>23</v>
      </c>
      <c r="D1758" s="2" t="s">
        <v>28</v>
      </c>
      <c r="E1758" s="2" t="s">
        <v>15</v>
      </c>
      <c r="F1758" s="4">
        <v>4605.3599999999997</v>
      </c>
    </row>
    <row r="1759" spans="1:6" ht="15" thickBot="1" x14ac:dyDescent="0.35">
      <c r="A1759" s="3" t="s">
        <v>142</v>
      </c>
      <c r="B1759" s="2" t="s">
        <v>17</v>
      </c>
      <c r="C1759" s="2" t="s">
        <v>23</v>
      </c>
      <c r="D1759" s="2" t="s">
        <v>14</v>
      </c>
      <c r="E1759" s="2" t="s">
        <v>24</v>
      </c>
      <c r="F1759" s="4">
        <v>4590.9799999999996</v>
      </c>
    </row>
    <row r="1760" spans="1:6" ht="15" thickBot="1" x14ac:dyDescent="0.35">
      <c r="A1760" s="3" t="s">
        <v>170</v>
      </c>
      <c r="B1760" s="2" t="s">
        <v>12</v>
      </c>
      <c r="C1760" s="2" t="s">
        <v>13</v>
      </c>
      <c r="D1760" s="2" t="s">
        <v>28</v>
      </c>
      <c r="E1760" s="2" t="s">
        <v>15</v>
      </c>
      <c r="F1760" s="4">
        <v>2454.27</v>
      </c>
    </row>
    <row r="1761" spans="1:6" ht="15" thickBot="1" x14ac:dyDescent="0.35">
      <c r="A1761" s="3" t="s">
        <v>99</v>
      </c>
      <c r="B1761" s="2" t="s">
        <v>19</v>
      </c>
      <c r="C1761" s="2" t="s">
        <v>13</v>
      </c>
      <c r="D1761" s="2" t="s">
        <v>9</v>
      </c>
      <c r="E1761" s="2" t="s">
        <v>24</v>
      </c>
      <c r="F1761" s="4">
        <v>2083</v>
      </c>
    </row>
    <row r="1762" spans="1:6" ht="15" thickBot="1" x14ac:dyDescent="0.35">
      <c r="A1762" s="3" t="s">
        <v>185</v>
      </c>
      <c r="B1762" s="2" t="s">
        <v>30</v>
      </c>
      <c r="C1762" s="2" t="s">
        <v>8</v>
      </c>
      <c r="D1762" s="2" t="s">
        <v>9</v>
      </c>
      <c r="E1762" s="2" t="s">
        <v>24</v>
      </c>
      <c r="F1762" s="4">
        <v>3207.76</v>
      </c>
    </row>
    <row r="1763" spans="1:6" ht="15" thickBot="1" x14ac:dyDescent="0.35">
      <c r="A1763" s="3" t="s">
        <v>168</v>
      </c>
      <c r="B1763" s="2" t="s">
        <v>17</v>
      </c>
      <c r="C1763" s="2" t="s">
        <v>8</v>
      </c>
      <c r="D1763" s="2" t="s">
        <v>9</v>
      </c>
      <c r="E1763" s="2" t="s">
        <v>10</v>
      </c>
      <c r="F1763" s="4">
        <v>4200.4249920000002</v>
      </c>
    </row>
    <row r="1764" spans="1:6" ht="15" thickBot="1" x14ac:dyDescent="0.35">
      <c r="A1764" s="3" t="s">
        <v>68</v>
      </c>
      <c r="B1764" s="2" t="s">
        <v>12</v>
      </c>
      <c r="C1764" s="2" t="s">
        <v>23</v>
      </c>
      <c r="D1764" s="2" t="s">
        <v>9</v>
      </c>
      <c r="E1764" s="2" t="s">
        <v>10</v>
      </c>
      <c r="F1764" s="4">
        <v>4705.2145979999996</v>
      </c>
    </row>
    <row r="1765" spans="1:6" ht="15" thickBot="1" x14ac:dyDescent="0.35">
      <c r="A1765" s="3" t="s">
        <v>35</v>
      </c>
      <c r="B1765" s="2" t="s">
        <v>19</v>
      </c>
      <c r="C1765" s="2" t="s">
        <v>13</v>
      </c>
      <c r="D1765" s="2" t="s">
        <v>14</v>
      </c>
      <c r="E1765" s="2" t="s">
        <v>24</v>
      </c>
      <c r="F1765" s="4">
        <v>171.51</v>
      </c>
    </row>
    <row r="1766" spans="1:6" ht="15" thickBot="1" x14ac:dyDescent="0.35">
      <c r="A1766" s="3" t="s">
        <v>170</v>
      </c>
      <c r="B1766" s="2" t="s">
        <v>12</v>
      </c>
      <c r="C1766" s="2" t="s">
        <v>34</v>
      </c>
      <c r="D1766" s="2" t="s">
        <v>9</v>
      </c>
      <c r="E1766" s="2" t="s">
        <v>24</v>
      </c>
      <c r="F1766" s="4">
        <v>2210.630854</v>
      </c>
    </row>
    <row r="1767" spans="1:6" ht="15" thickBot="1" x14ac:dyDescent="0.35">
      <c r="A1767" s="3" t="s">
        <v>11</v>
      </c>
      <c r="B1767" s="2" t="s">
        <v>12</v>
      </c>
      <c r="C1767" s="2" t="s">
        <v>23</v>
      </c>
      <c r="D1767" s="2" t="s">
        <v>9</v>
      </c>
      <c r="E1767" s="2" t="s">
        <v>24</v>
      </c>
      <c r="F1767" s="4">
        <v>4978.9324690000003</v>
      </c>
    </row>
    <row r="1768" spans="1:6" ht="15" thickBot="1" x14ac:dyDescent="0.35">
      <c r="A1768" s="3" t="s">
        <v>117</v>
      </c>
      <c r="B1768" s="2" t="s">
        <v>7</v>
      </c>
      <c r="C1768" s="2" t="s">
        <v>8</v>
      </c>
      <c r="D1768" s="2" t="s">
        <v>28</v>
      </c>
      <c r="E1768" s="2" t="s">
        <v>15</v>
      </c>
      <c r="F1768" s="4">
        <v>3657.98</v>
      </c>
    </row>
    <row r="1769" spans="1:6" ht="15" thickBot="1" x14ac:dyDescent="0.35">
      <c r="A1769" s="3" t="s">
        <v>20</v>
      </c>
      <c r="B1769" s="2" t="s">
        <v>17</v>
      </c>
      <c r="C1769" s="2" t="s">
        <v>23</v>
      </c>
      <c r="D1769" s="2" t="s">
        <v>28</v>
      </c>
      <c r="E1769" s="2" t="s">
        <v>24</v>
      </c>
      <c r="F1769" s="4">
        <v>1516.4</v>
      </c>
    </row>
    <row r="1770" spans="1:6" ht="15" thickBot="1" x14ac:dyDescent="0.35">
      <c r="A1770" s="3" t="s">
        <v>49</v>
      </c>
      <c r="B1770" s="2" t="s">
        <v>19</v>
      </c>
      <c r="C1770" s="2" t="s">
        <v>23</v>
      </c>
      <c r="D1770" s="2" t="s">
        <v>28</v>
      </c>
      <c r="E1770" s="2" t="s">
        <v>10</v>
      </c>
      <c r="F1770" s="4">
        <v>1707.15</v>
      </c>
    </row>
    <row r="1771" spans="1:6" ht="15" thickBot="1" x14ac:dyDescent="0.35">
      <c r="A1771" s="3" t="s">
        <v>98</v>
      </c>
      <c r="B1771" s="2" t="s">
        <v>19</v>
      </c>
      <c r="C1771" s="2" t="s">
        <v>34</v>
      </c>
      <c r="D1771" s="2" t="s">
        <v>14</v>
      </c>
      <c r="E1771" s="2" t="s">
        <v>24</v>
      </c>
      <c r="F1771" s="4">
        <v>526.19000000000005</v>
      </c>
    </row>
    <row r="1772" spans="1:6" ht="15" thickBot="1" x14ac:dyDescent="0.35">
      <c r="A1772" s="3" t="s">
        <v>218</v>
      </c>
      <c r="B1772" s="2" t="s">
        <v>17</v>
      </c>
      <c r="C1772" s="2" t="s">
        <v>8</v>
      </c>
      <c r="D1772" s="2" t="s">
        <v>9</v>
      </c>
      <c r="E1772" s="2" t="s">
        <v>24</v>
      </c>
      <c r="F1772" s="4">
        <v>5253.4060950000003</v>
      </c>
    </row>
    <row r="1773" spans="1:6" ht="15" thickBot="1" x14ac:dyDescent="0.35">
      <c r="A1773" s="3" t="s">
        <v>123</v>
      </c>
      <c r="B1773" s="2" t="s">
        <v>30</v>
      </c>
      <c r="C1773" s="2" t="s">
        <v>8</v>
      </c>
      <c r="D1773" s="2" t="s">
        <v>9</v>
      </c>
      <c r="E1773" s="2" t="s">
        <v>15</v>
      </c>
      <c r="F1773" s="4">
        <v>3617.9</v>
      </c>
    </row>
    <row r="1774" spans="1:6" ht="15" thickBot="1" x14ac:dyDescent="0.35">
      <c r="A1774" s="3" t="s">
        <v>175</v>
      </c>
      <c r="B1774" s="2" t="s">
        <v>7</v>
      </c>
      <c r="C1774" s="2" t="s">
        <v>13</v>
      </c>
      <c r="D1774" s="2" t="s">
        <v>28</v>
      </c>
      <c r="E1774" s="2" t="s">
        <v>10</v>
      </c>
      <c r="F1774" s="4">
        <v>698.65</v>
      </c>
    </row>
    <row r="1775" spans="1:6" ht="15" thickBot="1" x14ac:dyDescent="0.35">
      <c r="A1775" s="3" t="s">
        <v>11</v>
      </c>
      <c r="B1775" s="2" t="s">
        <v>12</v>
      </c>
      <c r="C1775" s="2" t="s">
        <v>23</v>
      </c>
      <c r="D1775" s="2" t="s">
        <v>9</v>
      </c>
      <c r="E1775" s="2" t="s">
        <v>24</v>
      </c>
      <c r="F1775" s="4">
        <v>4671.9711859999998</v>
      </c>
    </row>
    <row r="1776" spans="1:6" ht="15" thickBot="1" x14ac:dyDescent="0.35">
      <c r="A1776" s="3" t="s">
        <v>173</v>
      </c>
      <c r="B1776" s="2" t="s">
        <v>30</v>
      </c>
      <c r="C1776" s="2" t="s">
        <v>23</v>
      </c>
      <c r="D1776" s="2" t="s">
        <v>14</v>
      </c>
      <c r="E1776" s="2" t="s">
        <v>15</v>
      </c>
      <c r="F1776" s="4">
        <v>4339.82</v>
      </c>
    </row>
    <row r="1777" spans="1:6" ht="15" thickBot="1" x14ac:dyDescent="0.35">
      <c r="A1777" s="3" t="s">
        <v>99</v>
      </c>
      <c r="B1777" s="2" t="s">
        <v>19</v>
      </c>
      <c r="C1777" s="2" t="s">
        <v>13</v>
      </c>
      <c r="D1777" s="2" t="s">
        <v>9</v>
      </c>
      <c r="E1777" s="2" t="s">
        <v>24</v>
      </c>
      <c r="F1777" s="4">
        <v>132.41999999999999</v>
      </c>
    </row>
    <row r="1778" spans="1:6" ht="15" thickBot="1" x14ac:dyDescent="0.35">
      <c r="A1778" s="3" t="s">
        <v>33</v>
      </c>
      <c r="B1778" s="2" t="s">
        <v>19</v>
      </c>
      <c r="C1778" s="2" t="s">
        <v>34</v>
      </c>
      <c r="D1778" s="2" t="s">
        <v>14</v>
      </c>
      <c r="E1778" s="2" t="s">
        <v>10</v>
      </c>
      <c r="F1778" s="4">
        <v>1388.99</v>
      </c>
    </row>
    <row r="1779" spans="1:6" ht="15" thickBot="1" x14ac:dyDescent="0.35">
      <c r="A1779" s="3" t="s">
        <v>163</v>
      </c>
      <c r="B1779" s="2" t="s">
        <v>19</v>
      </c>
      <c r="C1779" s="2" t="s">
        <v>23</v>
      </c>
      <c r="D1779" s="2" t="s">
        <v>14</v>
      </c>
      <c r="E1779" s="2" t="s">
        <v>10</v>
      </c>
      <c r="F1779" s="4">
        <v>3966.31</v>
      </c>
    </row>
    <row r="1780" spans="1:6" ht="15" thickBot="1" x14ac:dyDescent="0.35">
      <c r="A1780" s="3" t="s">
        <v>79</v>
      </c>
      <c r="B1780" s="2" t="s">
        <v>17</v>
      </c>
      <c r="C1780" s="2" t="s">
        <v>13</v>
      </c>
      <c r="D1780" s="2" t="s">
        <v>28</v>
      </c>
      <c r="E1780" s="2" t="s">
        <v>15</v>
      </c>
      <c r="F1780" s="4">
        <v>2647.7</v>
      </c>
    </row>
    <row r="1781" spans="1:6" ht="15" thickBot="1" x14ac:dyDescent="0.35">
      <c r="A1781" s="3" t="s">
        <v>175</v>
      </c>
      <c r="B1781" s="2" t="s">
        <v>7</v>
      </c>
      <c r="C1781" s="2" t="s">
        <v>13</v>
      </c>
      <c r="D1781" s="2" t="s">
        <v>28</v>
      </c>
      <c r="E1781" s="2" t="s">
        <v>24</v>
      </c>
      <c r="F1781" s="4">
        <v>3541.47</v>
      </c>
    </row>
    <row r="1782" spans="1:6" ht="15" thickBot="1" x14ac:dyDescent="0.35">
      <c r="A1782" s="3" t="s">
        <v>40</v>
      </c>
      <c r="B1782" s="2" t="s">
        <v>19</v>
      </c>
      <c r="C1782" s="2" t="s">
        <v>23</v>
      </c>
      <c r="D1782" s="2" t="s">
        <v>28</v>
      </c>
      <c r="E1782" s="2" t="s">
        <v>10</v>
      </c>
      <c r="F1782" s="4">
        <v>2083.98</v>
      </c>
    </row>
    <row r="1783" spans="1:6" ht="15" thickBot="1" x14ac:dyDescent="0.35">
      <c r="A1783" s="3" t="s">
        <v>102</v>
      </c>
      <c r="B1783" s="2" t="s">
        <v>19</v>
      </c>
      <c r="C1783" s="2" t="s">
        <v>23</v>
      </c>
      <c r="D1783" s="2" t="s">
        <v>9</v>
      </c>
      <c r="E1783" s="2" t="s">
        <v>15</v>
      </c>
      <c r="F1783" s="4">
        <v>3597.2222860000002</v>
      </c>
    </row>
    <row r="1784" spans="1:6" ht="15" thickBot="1" x14ac:dyDescent="0.35">
      <c r="A1784" s="3" t="s">
        <v>188</v>
      </c>
      <c r="B1784" s="2" t="s">
        <v>19</v>
      </c>
      <c r="C1784" s="2" t="s">
        <v>8</v>
      </c>
      <c r="D1784" s="2" t="s">
        <v>28</v>
      </c>
      <c r="E1784" s="2" t="s">
        <v>24</v>
      </c>
      <c r="F1784" s="4">
        <v>3828.14</v>
      </c>
    </row>
    <row r="1785" spans="1:6" ht="15" thickBot="1" x14ac:dyDescent="0.35">
      <c r="A1785" s="3" t="s">
        <v>72</v>
      </c>
      <c r="B1785" s="2" t="s">
        <v>19</v>
      </c>
      <c r="C1785" s="2" t="s">
        <v>23</v>
      </c>
      <c r="D1785" s="2" t="s">
        <v>9</v>
      </c>
      <c r="E1785" s="2" t="s">
        <v>10</v>
      </c>
      <c r="F1785" s="4">
        <v>3705.619533</v>
      </c>
    </row>
    <row r="1786" spans="1:6" ht="15" thickBot="1" x14ac:dyDescent="0.35">
      <c r="A1786" s="3" t="s">
        <v>167</v>
      </c>
      <c r="B1786" s="2" t="s">
        <v>30</v>
      </c>
      <c r="C1786" s="2" t="s">
        <v>8</v>
      </c>
      <c r="D1786" s="2" t="s">
        <v>9</v>
      </c>
      <c r="E1786" s="2" t="s">
        <v>15</v>
      </c>
      <c r="F1786" s="4">
        <v>2912.2502679999998</v>
      </c>
    </row>
    <row r="1787" spans="1:6" ht="15" thickBot="1" x14ac:dyDescent="0.35">
      <c r="A1787" s="3" t="s">
        <v>52</v>
      </c>
      <c r="B1787" s="2" t="s">
        <v>19</v>
      </c>
      <c r="C1787" s="2" t="s">
        <v>34</v>
      </c>
      <c r="D1787" s="2" t="s">
        <v>28</v>
      </c>
      <c r="E1787" s="2" t="s">
        <v>24</v>
      </c>
      <c r="F1787" s="4">
        <v>1004.91</v>
      </c>
    </row>
    <row r="1788" spans="1:6" ht="15" thickBot="1" x14ac:dyDescent="0.35">
      <c r="A1788" s="3" t="s">
        <v>100</v>
      </c>
      <c r="B1788" s="2" t="s">
        <v>7</v>
      </c>
      <c r="C1788" s="2" t="s">
        <v>34</v>
      </c>
      <c r="D1788" s="2" t="s">
        <v>14</v>
      </c>
      <c r="E1788" s="2" t="s">
        <v>10</v>
      </c>
      <c r="F1788" s="4">
        <v>4429.63</v>
      </c>
    </row>
    <row r="1789" spans="1:6" ht="15" thickBot="1" x14ac:dyDescent="0.35">
      <c r="A1789" s="3" t="s">
        <v>108</v>
      </c>
      <c r="B1789" s="2" t="s">
        <v>7</v>
      </c>
      <c r="C1789" s="2" t="s">
        <v>13</v>
      </c>
      <c r="D1789" s="2" t="s">
        <v>9</v>
      </c>
      <c r="E1789" s="2" t="s">
        <v>10</v>
      </c>
      <c r="F1789" s="4">
        <v>4951.923847</v>
      </c>
    </row>
    <row r="1790" spans="1:6" ht="15" thickBot="1" x14ac:dyDescent="0.35">
      <c r="A1790" s="3" t="s">
        <v>16</v>
      </c>
      <c r="B1790" s="2" t="s">
        <v>17</v>
      </c>
      <c r="C1790" s="2" t="s">
        <v>8</v>
      </c>
      <c r="D1790" s="2" t="s">
        <v>9</v>
      </c>
      <c r="E1790" s="2" t="s">
        <v>24</v>
      </c>
      <c r="F1790" s="4">
        <v>2036.074695</v>
      </c>
    </row>
    <row r="1791" spans="1:6" ht="15" thickBot="1" x14ac:dyDescent="0.35">
      <c r="A1791" s="3" t="s">
        <v>161</v>
      </c>
      <c r="B1791" s="2" t="s">
        <v>7</v>
      </c>
      <c r="C1791" s="2" t="s">
        <v>8</v>
      </c>
      <c r="D1791" s="2" t="s">
        <v>28</v>
      </c>
      <c r="E1791" s="2" t="s">
        <v>10</v>
      </c>
      <c r="F1791" s="4">
        <v>4936.1400000000003</v>
      </c>
    </row>
    <row r="1792" spans="1:6" ht="15" thickBot="1" x14ac:dyDescent="0.35">
      <c r="A1792" s="3" t="s">
        <v>6</v>
      </c>
      <c r="B1792" s="2" t="s">
        <v>7</v>
      </c>
      <c r="C1792" s="2" t="s">
        <v>34</v>
      </c>
      <c r="D1792" s="2" t="s">
        <v>28</v>
      </c>
      <c r="E1792" s="2" t="s">
        <v>15</v>
      </c>
      <c r="F1792" s="4">
        <v>2419.77</v>
      </c>
    </row>
    <row r="1793" spans="1:6" ht="15" thickBot="1" x14ac:dyDescent="0.35">
      <c r="A1793" s="3" t="s">
        <v>119</v>
      </c>
      <c r="B1793" s="2" t="s">
        <v>30</v>
      </c>
      <c r="C1793" s="2" t="s">
        <v>34</v>
      </c>
      <c r="D1793" s="2" t="s">
        <v>9</v>
      </c>
      <c r="E1793" s="2" t="s">
        <v>15</v>
      </c>
      <c r="F1793" s="4">
        <v>574.95542599999999</v>
      </c>
    </row>
    <row r="1794" spans="1:6" ht="15" thickBot="1" x14ac:dyDescent="0.35">
      <c r="A1794" s="3" t="s">
        <v>191</v>
      </c>
      <c r="B1794" s="2" t="s">
        <v>12</v>
      </c>
      <c r="C1794" s="2" t="s">
        <v>13</v>
      </c>
      <c r="D1794" s="2" t="s">
        <v>28</v>
      </c>
      <c r="E1794" s="2" t="s">
        <v>10</v>
      </c>
      <c r="F1794" s="4">
        <v>2530.5</v>
      </c>
    </row>
    <row r="1795" spans="1:6" ht="15" thickBot="1" x14ac:dyDescent="0.35">
      <c r="A1795" s="3" t="s">
        <v>138</v>
      </c>
      <c r="B1795" s="2" t="s">
        <v>12</v>
      </c>
      <c r="C1795" s="2" t="s">
        <v>34</v>
      </c>
      <c r="D1795" s="2" t="s">
        <v>28</v>
      </c>
      <c r="E1795" s="2" t="s">
        <v>10</v>
      </c>
      <c r="F1795" s="4">
        <v>4691.6499999999996</v>
      </c>
    </row>
    <row r="1796" spans="1:6" ht="15" thickBot="1" x14ac:dyDescent="0.35">
      <c r="A1796" s="3" t="s">
        <v>161</v>
      </c>
      <c r="B1796" s="2" t="s">
        <v>7</v>
      </c>
      <c r="C1796" s="2" t="s">
        <v>23</v>
      </c>
      <c r="D1796" s="2" t="s">
        <v>28</v>
      </c>
      <c r="E1796" s="2" t="s">
        <v>15</v>
      </c>
      <c r="F1796" s="4">
        <v>3798.92</v>
      </c>
    </row>
    <row r="1797" spans="1:6" ht="15" thickBot="1" x14ac:dyDescent="0.35">
      <c r="A1797" s="3" t="s">
        <v>144</v>
      </c>
      <c r="B1797" s="2" t="s">
        <v>30</v>
      </c>
      <c r="C1797" s="2" t="s">
        <v>8</v>
      </c>
      <c r="D1797" s="2" t="s">
        <v>14</v>
      </c>
      <c r="E1797" s="2" t="s">
        <v>24</v>
      </c>
      <c r="F1797" s="4">
        <v>473.15</v>
      </c>
    </row>
    <row r="1798" spans="1:6" ht="15" thickBot="1" x14ac:dyDescent="0.35">
      <c r="A1798" s="3" t="s">
        <v>74</v>
      </c>
      <c r="B1798" s="2" t="s">
        <v>19</v>
      </c>
      <c r="C1798" s="2" t="s">
        <v>34</v>
      </c>
      <c r="D1798" s="2" t="s">
        <v>28</v>
      </c>
      <c r="E1798" s="2" t="s">
        <v>15</v>
      </c>
      <c r="F1798" s="4">
        <v>2684.5</v>
      </c>
    </row>
    <row r="1799" spans="1:6" ht="15" thickBot="1" x14ac:dyDescent="0.35">
      <c r="A1799" s="3" t="s">
        <v>147</v>
      </c>
      <c r="B1799" s="2" t="s">
        <v>17</v>
      </c>
      <c r="C1799" s="2" t="s">
        <v>34</v>
      </c>
      <c r="D1799" s="2" t="s">
        <v>9</v>
      </c>
      <c r="E1799" s="2" t="s">
        <v>10</v>
      </c>
      <c r="F1799" s="4">
        <v>3207.9661550000001</v>
      </c>
    </row>
    <row r="1800" spans="1:6" ht="15" thickBot="1" x14ac:dyDescent="0.35">
      <c r="A1800" s="3" t="s">
        <v>175</v>
      </c>
      <c r="B1800" s="2" t="s">
        <v>7</v>
      </c>
      <c r="C1800" s="2" t="s">
        <v>23</v>
      </c>
      <c r="D1800" s="2" t="s">
        <v>9</v>
      </c>
      <c r="E1800" s="2" t="s">
        <v>15</v>
      </c>
      <c r="F1800" s="4">
        <v>2986.0217029999999</v>
      </c>
    </row>
    <row r="1801" spans="1:6" ht="15" thickBot="1" x14ac:dyDescent="0.35">
      <c r="A1801" s="3" t="s">
        <v>157</v>
      </c>
      <c r="B1801" s="2" t="s">
        <v>30</v>
      </c>
      <c r="C1801" s="2" t="s">
        <v>8</v>
      </c>
      <c r="D1801" s="2" t="s">
        <v>28</v>
      </c>
      <c r="E1801" s="2" t="s">
        <v>10</v>
      </c>
      <c r="F1801" s="4">
        <v>862.55</v>
      </c>
    </row>
    <row r="1802" spans="1:6" ht="15" thickBot="1" x14ac:dyDescent="0.35">
      <c r="A1802" s="3" t="s">
        <v>11</v>
      </c>
      <c r="B1802" s="2" t="s">
        <v>12</v>
      </c>
      <c r="C1802" s="2" t="s">
        <v>34</v>
      </c>
      <c r="D1802" s="2" t="s">
        <v>14</v>
      </c>
      <c r="E1802" s="2" t="s">
        <v>15</v>
      </c>
      <c r="F1802" s="4">
        <v>827.65</v>
      </c>
    </row>
    <row r="1803" spans="1:6" ht="15" thickBot="1" x14ac:dyDescent="0.35">
      <c r="A1803" s="3" t="s">
        <v>130</v>
      </c>
      <c r="B1803" s="2" t="s">
        <v>12</v>
      </c>
      <c r="C1803" s="2" t="s">
        <v>8</v>
      </c>
      <c r="D1803" s="2" t="s">
        <v>28</v>
      </c>
      <c r="E1803" s="2" t="s">
        <v>10</v>
      </c>
      <c r="F1803" s="4">
        <v>1683.73</v>
      </c>
    </row>
    <row r="1804" spans="1:6" ht="15" thickBot="1" x14ac:dyDescent="0.35">
      <c r="A1804" s="3" t="s">
        <v>95</v>
      </c>
      <c r="B1804" s="2" t="s">
        <v>30</v>
      </c>
      <c r="C1804" s="2" t="s">
        <v>13</v>
      </c>
      <c r="D1804" s="2" t="s">
        <v>14</v>
      </c>
      <c r="E1804" s="2" t="s">
        <v>24</v>
      </c>
      <c r="F1804" s="4">
        <v>1942.34</v>
      </c>
    </row>
    <row r="1805" spans="1:6" ht="15" thickBot="1" x14ac:dyDescent="0.35">
      <c r="A1805" s="3" t="s">
        <v>170</v>
      </c>
      <c r="B1805" s="2" t="s">
        <v>12</v>
      </c>
      <c r="C1805" s="2" t="s">
        <v>34</v>
      </c>
      <c r="D1805" s="2" t="s">
        <v>14</v>
      </c>
      <c r="E1805" s="2" t="s">
        <v>10</v>
      </c>
      <c r="F1805" s="4">
        <v>4550.1099999999997</v>
      </c>
    </row>
    <row r="1806" spans="1:6" ht="15" thickBot="1" x14ac:dyDescent="0.35">
      <c r="A1806" s="3" t="s">
        <v>208</v>
      </c>
      <c r="B1806" s="2" t="s">
        <v>19</v>
      </c>
      <c r="C1806" s="2" t="s">
        <v>8</v>
      </c>
      <c r="D1806" s="2" t="s">
        <v>9</v>
      </c>
      <c r="E1806" s="2" t="s">
        <v>15</v>
      </c>
      <c r="F1806" s="4">
        <v>3667.9851920000001</v>
      </c>
    </row>
    <row r="1807" spans="1:6" ht="15" thickBot="1" x14ac:dyDescent="0.35">
      <c r="A1807" s="3" t="s">
        <v>167</v>
      </c>
      <c r="B1807" s="2" t="s">
        <v>30</v>
      </c>
      <c r="C1807" s="2" t="s">
        <v>23</v>
      </c>
      <c r="D1807" s="2" t="s">
        <v>14</v>
      </c>
      <c r="E1807" s="2" t="s">
        <v>24</v>
      </c>
      <c r="F1807" s="4">
        <v>4318.42</v>
      </c>
    </row>
    <row r="1808" spans="1:6" ht="15" thickBot="1" x14ac:dyDescent="0.35">
      <c r="A1808" s="3" t="s">
        <v>52</v>
      </c>
      <c r="B1808" s="2" t="s">
        <v>19</v>
      </c>
      <c r="C1808" s="2" t="s">
        <v>23</v>
      </c>
      <c r="D1808" s="2" t="s">
        <v>14</v>
      </c>
      <c r="E1808" s="2" t="s">
        <v>10</v>
      </c>
      <c r="F1808" s="4">
        <v>3660.75</v>
      </c>
    </row>
    <row r="1809" spans="1:6" ht="15" thickBot="1" x14ac:dyDescent="0.35">
      <c r="A1809" s="3" t="s">
        <v>154</v>
      </c>
      <c r="B1809" s="2" t="s">
        <v>12</v>
      </c>
      <c r="C1809" s="2" t="s">
        <v>13</v>
      </c>
      <c r="D1809" s="2" t="s">
        <v>14</v>
      </c>
      <c r="E1809" s="2" t="s">
        <v>15</v>
      </c>
      <c r="F1809" s="4">
        <v>1074.46</v>
      </c>
    </row>
    <row r="1810" spans="1:6" ht="15" thickBot="1" x14ac:dyDescent="0.35">
      <c r="A1810" s="3" t="s">
        <v>113</v>
      </c>
      <c r="B1810" s="2" t="s">
        <v>30</v>
      </c>
      <c r="C1810" s="2" t="s">
        <v>23</v>
      </c>
      <c r="D1810" s="2" t="s">
        <v>14</v>
      </c>
      <c r="E1810" s="2" t="s">
        <v>24</v>
      </c>
      <c r="F1810" s="4">
        <v>4228.88</v>
      </c>
    </row>
    <row r="1811" spans="1:6" ht="15" thickBot="1" x14ac:dyDescent="0.35">
      <c r="A1811" s="3" t="s">
        <v>111</v>
      </c>
      <c r="B1811" s="2" t="s">
        <v>19</v>
      </c>
      <c r="C1811" s="2" t="s">
        <v>34</v>
      </c>
      <c r="D1811" s="2" t="s">
        <v>14</v>
      </c>
      <c r="E1811" s="2" t="s">
        <v>24</v>
      </c>
      <c r="F1811" s="4">
        <v>2827.96</v>
      </c>
    </row>
    <row r="1812" spans="1:6" ht="15" thickBot="1" x14ac:dyDescent="0.35">
      <c r="A1812" s="3" t="s">
        <v>70</v>
      </c>
      <c r="B1812" s="2" t="s">
        <v>19</v>
      </c>
      <c r="C1812" s="2" t="s">
        <v>8</v>
      </c>
      <c r="D1812" s="2" t="s">
        <v>9</v>
      </c>
      <c r="E1812" s="2" t="s">
        <v>10</v>
      </c>
      <c r="F1812" s="4">
        <v>1375.518959</v>
      </c>
    </row>
    <row r="1813" spans="1:6" ht="15" thickBot="1" x14ac:dyDescent="0.35">
      <c r="A1813" s="3" t="s">
        <v>76</v>
      </c>
      <c r="B1813" s="2" t="s">
        <v>17</v>
      </c>
      <c r="C1813" s="2" t="s">
        <v>13</v>
      </c>
      <c r="D1813" s="2" t="s">
        <v>9</v>
      </c>
      <c r="E1813" s="2" t="s">
        <v>15</v>
      </c>
      <c r="F1813" s="4">
        <v>3501.5986440000001</v>
      </c>
    </row>
    <row r="1814" spans="1:6" ht="15" thickBot="1" x14ac:dyDescent="0.35">
      <c r="A1814" s="3" t="s">
        <v>40</v>
      </c>
      <c r="B1814" s="2" t="s">
        <v>19</v>
      </c>
      <c r="C1814" s="2" t="s">
        <v>23</v>
      </c>
      <c r="D1814" s="2" t="s">
        <v>9</v>
      </c>
      <c r="E1814" s="2" t="s">
        <v>15</v>
      </c>
      <c r="F1814" s="4">
        <v>3492.9772149999999</v>
      </c>
    </row>
    <row r="1815" spans="1:6" ht="15" thickBot="1" x14ac:dyDescent="0.35">
      <c r="A1815" s="3" t="s">
        <v>204</v>
      </c>
      <c r="B1815" s="2" t="s">
        <v>30</v>
      </c>
      <c r="C1815" s="2" t="s">
        <v>13</v>
      </c>
      <c r="D1815" s="2" t="s">
        <v>9</v>
      </c>
      <c r="E1815" s="2" t="s">
        <v>24</v>
      </c>
      <c r="F1815" s="4">
        <v>1594.77631</v>
      </c>
    </row>
    <row r="1816" spans="1:6" ht="15" thickBot="1" x14ac:dyDescent="0.35">
      <c r="A1816" s="3" t="s">
        <v>53</v>
      </c>
      <c r="B1816" s="2" t="s">
        <v>7</v>
      </c>
      <c r="C1816" s="2" t="s">
        <v>8</v>
      </c>
      <c r="D1816" s="2" t="s">
        <v>9</v>
      </c>
      <c r="E1816" s="2" t="s">
        <v>15</v>
      </c>
      <c r="F1816" s="4">
        <v>4328.8292810000003</v>
      </c>
    </row>
    <row r="1817" spans="1:6" ht="15" thickBot="1" x14ac:dyDescent="0.35">
      <c r="A1817" s="3" t="s">
        <v>88</v>
      </c>
      <c r="B1817" s="2" t="s">
        <v>7</v>
      </c>
      <c r="C1817" s="2" t="s">
        <v>34</v>
      </c>
      <c r="D1817" s="2" t="s">
        <v>9</v>
      </c>
      <c r="E1817" s="2" t="s">
        <v>10</v>
      </c>
      <c r="F1817" s="4">
        <v>3820.762874</v>
      </c>
    </row>
    <row r="1818" spans="1:6" ht="15" thickBot="1" x14ac:dyDescent="0.35">
      <c r="A1818" s="3" t="s">
        <v>210</v>
      </c>
      <c r="B1818" s="2" t="s">
        <v>7</v>
      </c>
      <c r="C1818" s="2" t="s">
        <v>8</v>
      </c>
      <c r="D1818" s="2" t="s">
        <v>14</v>
      </c>
      <c r="E1818" s="2" t="s">
        <v>10</v>
      </c>
      <c r="F1818" s="4">
        <v>2495.33</v>
      </c>
    </row>
    <row r="1819" spans="1:6" ht="15" thickBot="1" x14ac:dyDescent="0.35">
      <c r="A1819" s="3" t="s">
        <v>197</v>
      </c>
      <c r="B1819" s="2" t="s">
        <v>30</v>
      </c>
      <c r="C1819" s="2" t="s">
        <v>23</v>
      </c>
      <c r="D1819" s="2" t="s">
        <v>28</v>
      </c>
      <c r="E1819" s="2" t="s">
        <v>10</v>
      </c>
      <c r="F1819" s="4">
        <v>286.39</v>
      </c>
    </row>
    <row r="1820" spans="1:6" ht="15" thickBot="1" x14ac:dyDescent="0.35">
      <c r="A1820" s="3" t="s">
        <v>65</v>
      </c>
      <c r="B1820" s="2" t="s">
        <v>30</v>
      </c>
      <c r="C1820" s="2" t="s">
        <v>34</v>
      </c>
      <c r="D1820" s="2" t="s">
        <v>14</v>
      </c>
      <c r="E1820" s="2" t="s">
        <v>10</v>
      </c>
      <c r="F1820" s="4">
        <v>1994.05</v>
      </c>
    </row>
    <row r="1821" spans="1:6" ht="15" thickBot="1" x14ac:dyDescent="0.35">
      <c r="A1821" s="3" t="s">
        <v>213</v>
      </c>
      <c r="B1821" s="2" t="s">
        <v>12</v>
      </c>
      <c r="C1821" s="2" t="s">
        <v>13</v>
      </c>
      <c r="D1821" s="2" t="s">
        <v>14</v>
      </c>
      <c r="E1821" s="2" t="s">
        <v>10</v>
      </c>
      <c r="F1821" s="4">
        <v>2165.4299999999998</v>
      </c>
    </row>
    <row r="1822" spans="1:6" ht="15" thickBot="1" x14ac:dyDescent="0.35">
      <c r="A1822" s="3" t="s">
        <v>16</v>
      </c>
      <c r="B1822" s="2" t="s">
        <v>17</v>
      </c>
      <c r="C1822" s="2" t="s">
        <v>23</v>
      </c>
      <c r="D1822" s="2" t="s">
        <v>28</v>
      </c>
      <c r="E1822" s="2" t="s">
        <v>15</v>
      </c>
      <c r="F1822" s="4">
        <v>4197.01</v>
      </c>
    </row>
    <row r="1823" spans="1:6" ht="15" thickBot="1" x14ac:dyDescent="0.35">
      <c r="A1823" s="3" t="s">
        <v>78</v>
      </c>
      <c r="B1823" s="2" t="s">
        <v>7</v>
      </c>
      <c r="C1823" s="2" t="s">
        <v>34</v>
      </c>
      <c r="D1823" s="2" t="s">
        <v>9</v>
      </c>
      <c r="E1823" s="2" t="s">
        <v>10</v>
      </c>
      <c r="F1823" s="4">
        <v>1921.28</v>
      </c>
    </row>
    <row r="1824" spans="1:6" ht="15" thickBot="1" x14ac:dyDescent="0.35">
      <c r="A1824" s="3" t="s">
        <v>89</v>
      </c>
      <c r="B1824" s="2" t="s">
        <v>17</v>
      </c>
      <c r="C1824" s="2" t="s">
        <v>13</v>
      </c>
      <c r="D1824" s="2" t="s">
        <v>28</v>
      </c>
      <c r="E1824" s="2" t="s">
        <v>24</v>
      </c>
      <c r="F1824" s="4">
        <v>3491.72</v>
      </c>
    </row>
    <row r="1825" spans="1:6" ht="15" thickBot="1" x14ac:dyDescent="0.35">
      <c r="A1825" s="3" t="s">
        <v>81</v>
      </c>
      <c r="B1825" s="2" t="s">
        <v>12</v>
      </c>
      <c r="C1825" s="2" t="s">
        <v>34</v>
      </c>
      <c r="D1825" s="2" t="s">
        <v>9</v>
      </c>
      <c r="E1825" s="2" t="s">
        <v>10</v>
      </c>
      <c r="F1825" s="4">
        <v>2500.066452</v>
      </c>
    </row>
    <row r="1826" spans="1:6" ht="15" thickBot="1" x14ac:dyDescent="0.35">
      <c r="A1826" s="3" t="s">
        <v>212</v>
      </c>
      <c r="B1826" s="2" t="s">
        <v>7</v>
      </c>
      <c r="C1826" s="2" t="s">
        <v>13</v>
      </c>
      <c r="D1826" s="2" t="s">
        <v>28</v>
      </c>
      <c r="E1826" s="2" t="s">
        <v>10</v>
      </c>
      <c r="F1826" s="4">
        <v>818.77</v>
      </c>
    </row>
    <row r="1827" spans="1:6" ht="15" thickBot="1" x14ac:dyDescent="0.35">
      <c r="A1827" s="3" t="s">
        <v>185</v>
      </c>
      <c r="B1827" s="2" t="s">
        <v>30</v>
      </c>
      <c r="C1827" s="2" t="s">
        <v>8</v>
      </c>
      <c r="D1827" s="2" t="s">
        <v>28</v>
      </c>
      <c r="E1827" s="2" t="s">
        <v>15</v>
      </c>
      <c r="F1827" s="4">
        <v>316.76</v>
      </c>
    </row>
    <row r="1828" spans="1:6" ht="15" thickBot="1" x14ac:dyDescent="0.35">
      <c r="A1828" s="3" t="s">
        <v>202</v>
      </c>
      <c r="B1828" s="2" t="s">
        <v>12</v>
      </c>
      <c r="C1828" s="2" t="s">
        <v>13</v>
      </c>
      <c r="D1828" s="2" t="s">
        <v>28</v>
      </c>
      <c r="E1828" s="2" t="s">
        <v>15</v>
      </c>
      <c r="F1828" s="4">
        <v>2524.56</v>
      </c>
    </row>
    <row r="1829" spans="1:6" ht="15" thickBot="1" x14ac:dyDescent="0.35">
      <c r="A1829" s="3" t="s">
        <v>207</v>
      </c>
      <c r="B1829" s="2" t="s">
        <v>17</v>
      </c>
      <c r="C1829" s="2" t="s">
        <v>34</v>
      </c>
      <c r="D1829" s="2" t="s">
        <v>9</v>
      </c>
      <c r="E1829" s="2" t="s">
        <v>15</v>
      </c>
      <c r="F1829" s="4">
        <v>1374.216095</v>
      </c>
    </row>
    <row r="1830" spans="1:6" ht="15" thickBot="1" x14ac:dyDescent="0.35">
      <c r="A1830" s="3" t="s">
        <v>161</v>
      </c>
      <c r="B1830" s="2" t="s">
        <v>7</v>
      </c>
      <c r="C1830" s="2" t="s">
        <v>13</v>
      </c>
      <c r="D1830" s="2" t="s">
        <v>28</v>
      </c>
      <c r="E1830" s="2" t="s">
        <v>10</v>
      </c>
      <c r="F1830" s="4">
        <v>3494.63</v>
      </c>
    </row>
    <row r="1831" spans="1:6" ht="15" thickBot="1" x14ac:dyDescent="0.35">
      <c r="A1831" s="3" t="s">
        <v>119</v>
      </c>
      <c r="B1831" s="2" t="s">
        <v>30</v>
      </c>
      <c r="C1831" s="2" t="s">
        <v>13</v>
      </c>
      <c r="D1831" s="2" t="s">
        <v>9</v>
      </c>
      <c r="E1831" s="2" t="s">
        <v>24</v>
      </c>
      <c r="F1831" s="4">
        <v>1436.9353590000001</v>
      </c>
    </row>
    <row r="1832" spans="1:6" ht="15" thickBot="1" x14ac:dyDescent="0.35">
      <c r="A1832" s="3" t="s">
        <v>217</v>
      </c>
      <c r="B1832" s="2" t="s">
        <v>19</v>
      </c>
      <c r="C1832" s="2" t="s">
        <v>13</v>
      </c>
      <c r="D1832" s="2" t="s">
        <v>28</v>
      </c>
      <c r="E1832" s="2" t="s">
        <v>10</v>
      </c>
      <c r="F1832" s="4">
        <v>1993.57</v>
      </c>
    </row>
    <row r="1833" spans="1:6" ht="15" thickBot="1" x14ac:dyDescent="0.35">
      <c r="A1833" s="3" t="s">
        <v>95</v>
      </c>
      <c r="B1833" s="2" t="s">
        <v>30</v>
      </c>
      <c r="C1833" s="2" t="s">
        <v>8</v>
      </c>
      <c r="D1833" s="2" t="s">
        <v>14</v>
      </c>
      <c r="E1833" s="2" t="s">
        <v>15</v>
      </c>
      <c r="F1833" s="4">
        <v>2563.0100000000002</v>
      </c>
    </row>
    <row r="1834" spans="1:6" ht="15" thickBot="1" x14ac:dyDescent="0.35">
      <c r="A1834" s="3" t="s">
        <v>118</v>
      </c>
      <c r="B1834" s="2" t="s">
        <v>30</v>
      </c>
      <c r="C1834" s="2" t="s">
        <v>13</v>
      </c>
      <c r="D1834" s="2" t="s">
        <v>28</v>
      </c>
      <c r="E1834" s="2" t="s">
        <v>10</v>
      </c>
      <c r="F1834" s="4">
        <v>3772.31</v>
      </c>
    </row>
    <row r="1835" spans="1:6" ht="15" thickBot="1" x14ac:dyDescent="0.35">
      <c r="A1835" s="3" t="s">
        <v>197</v>
      </c>
      <c r="B1835" s="2" t="s">
        <v>30</v>
      </c>
      <c r="C1835" s="2" t="s">
        <v>8</v>
      </c>
      <c r="D1835" s="2" t="s">
        <v>28</v>
      </c>
      <c r="E1835" s="2" t="s">
        <v>15</v>
      </c>
      <c r="F1835" s="4">
        <v>1624.65</v>
      </c>
    </row>
    <row r="1836" spans="1:6" ht="15" thickBot="1" x14ac:dyDescent="0.35">
      <c r="A1836" s="3" t="s">
        <v>179</v>
      </c>
      <c r="B1836" s="2" t="s">
        <v>7</v>
      </c>
      <c r="C1836" s="2" t="s">
        <v>13</v>
      </c>
      <c r="D1836" s="2" t="s">
        <v>28</v>
      </c>
      <c r="E1836" s="2" t="s">
        <v>10</v>
      </c>
      <c r="F1836" s="4">
        <v>4535.0200000000004</v>
      </c>
    </row>
    <row r="1837" spans="1:6" ht="15" thickBot="1" x14ac:dyDescent="0.35">
      <c r="A1837" s="3" t="s">
        <v>175</v>
      </c>
      <c r="B1837" s="2" t="s">
        <v>7</v>
      </c>
      <c r="C1837" s="2" t="s">
        <v>13</v>
      </c>
      <c r="D1837" s="2" t="s">
        <v>9</v>
      </c>
      <c r="E1837" s="2" t="s">
        <v>24</v>
      </c>
      <c r="F1837" s="4">
        <v>3532.2748670000001</v>
      </c>
    </row>
    <row r="1838" spans="1:6" ht="15" thickBot="1" x14ac:dyDescent="0.35">
      <c r="A1838" s="3" t="s">
        <v>153</v>
      </c>
      <c r="B1838" s="2" t="s">
        <v>7</v>
      </c>
      <c r="C1838" s="2" t="s">
        <v>13</v>
      </c>
      <c r="D1838" s="2" t="s">
        <v>14</v>
      </c>
      <c r="E1838" s="2" t="s">
        <v>15</v>
      </c>
      <c r="F1838" s="4">
        <v>2581.0300000000002</v>
      </c>
    </row>
    <row r="1839" spans="1:6" ht="15" thickBot="1" x14ac:dyDescent="0.35">
      <c r="A1839" s="3" t="s">
        <v>194</v>
      </c>
      <c r="B1839" s="2" t="s">
        <v>17</v>
      </c>
      <c r="C1839" s="2" t="s">
        <v>34</v>
      </c>
      <c r="D1839" s="2" t="s">
        <v>9</v>
      </c>
      <c r="E1839" s="2" t="s">
        <v>15</v>
      </c>
      <c r="F1839" s="4">
        <v>4518.3755819999997</v>
      </c>
    </row>
    <row r="1840" spans="1:6" ht="15" thickBot="1" x14ac:dyDescent="0.35">
      <c r="A1840" s="3" t="s">
        <v>168</v>
      </c>
      <c r="B1840" s="2" t="s">
        <v>17</v>
      </c>
      <c r="C1840" s="2" t="s">
        <v>13</v>
      </c>
      <c r="D1840" s="2" t="s">
        <v>28</v>
      </c>
      <c r="E1840" s="2" t="s">
        <v>24</v>
      </c>
      <c r="F1840" s="4">
        <v>4506.08</v>
      </c>
    </row>
    <row r="1841" spans="1:6" ht="15" thickBot="1" x14ac:dyDescent="0.35">
      <c r="A1841" s="3" t="s">
        <v>164</v>
      </c>
      <c r="B1841" s="2" t="s">
        <v>19</v>
      </c>
      <c r="C1841" s="2" t="s">
        <v>8</v>
      </c>
      <c r="D1841" s="2" t="s">
        <v>9</v>
      </c>
      <c r="E1841" s="2" t="s">
        <v>15</v>
      </c>
      <c r="F1841" s="4">
        <v>3055.5135620000001</v>
      </c>
    </row>
    <row r="1842" spans="1:6" ht="15" thickBot="1" x14ac:dyDescent="0.35">
      <c r="A1842" s="3" t="s">
        <v>85</v>
      </c>
      <c r="B1842" s="2" t="s">
        <v>30</v>
      </c>
      <c r="C1842" s="2" t="s">
        <v>8</v>
      </c>
      <c r="D1842" s="2" t="s">
        <v>14</v>
      </c>
      <c r="E1842" s="2" t="s">
        <v>15</v>
      </c>
      <c r="F1842" s="4">
        <v>1376.96</v>
      </c>
    </row>
    <row r="1843" spans="1:6" ht="15" thickBot="1" x14ac:dyDescent="0.35">
      <c r="A1843" s="3" t="s">
        <v>103</v>
      </c>
      <c r="B1843" s="2" t="s">
        <v>19</v>
      </c>
      <c r="C1843" s="2" t="s">
        <v>8</v>
      </c>
      <c r="D1843" s="2" t="s">
        <v>9</v>
      </c>
      <c r="E1843" s="2" t="s">
        <v>15</v>
      </c>
      <c r="F1843" s="4">
        <v>3798.946269</v>
      </c>
    </row>
    <row r="1844" spans="1:6" ht="15" thickBot="1" x14ac:dyDescent="0.35">
      <c r="A1844" s="3" t="s">
        <v>159</v>
      </c>
      <c r="B1844" s="2" t="s">
        <v>7</v>
      </c>
      <c r="C1844" s="2" t="s">
        <v>8</v>
      </c>
      <c r="D1844" s="2" t="s">
        <v>28</v>
      </c>
      <c r="E1844" s="2" t="s">
        <v>15</v>
      </c>
      <c r="F1844" s="4">
        <v>1881.41</v>
      </c>
    </row>
    <row r="1845" spans="1:6" ht="15" thickBot="1" x14ac:dyDescent="0.35">
      <c r="A1845" s="3" t="s">
        <v>118</v>
      </c>
      <c r="B1845" s="2" t="s">
        <v>30</v>
      </c>
      <c r="C1845" s="2" t="s">
        <v>34</v>
      </c>
      <c r="D1845" s="2" t="s">
        <v>14</v>
      </c>
      <c r="E1845" s="2" t="s">
        <v>24</v>
      </c>
      <c r="F1845" s="4">
        <v>1308.54</v>
      </c>
    </row>
    <row r="1846" spans="1:6" ht="15" thickBot="1" x14ac:dyDescent="0.35">
      <c r="A1846" s="3" t="s">
        <v>65</v>
      </c>
      <c r="B1846" s="2" t="s">
        <v>30</v>
      </c>
      <c r="C1846" s="2" t="s">
        <v>13</v>
      </c>
      <c r="D1846" s="2" t="s">
        <v>28</v>
      </c>
      <c r="E1846" s="2" t="s">
        <v>15</v>
      </c>
      <c r="F1846" s="4">
        <v>706.73</v>
      </c>
    </row>
    <row r="1847" spans="1:6" ht="15" thickBot="1" x14ac:dyDescent="0.35">
      <c r="A1847" s="3" t="s">
        <v>197</v>
      </c>
      <c r="B1847" s="2" t="s">
        <v>30</v>
      </c>
      <c r="C1847" s="2" t="s">
        <v>23</v>
      </c>
      <c r="D1847" s="2" t="s">
        <v>9</v>
      </c>
      <c r="E1847" s="2" t="s">
        <v>24</v>
      </c>
      <c r="F1847" s="4">
        <v>3595.4041010000001</v>
      </c>
    </row>
    <row r="1848" spans="1:6" ht="15" thickBot="1" x14ac:dyDescent="0.35">
      <c r="A1848" s="3" t="s">
        <v>131</v>
      </c>
      <c r="B1848" s="2" t="s">
        <v>17</v>
      </c>
      <c r="C1848" s="2" t="s">
        <v>23</v>
      </c>
      <c r="D1848" s="2" t="s">
        <v>14</v>
      </c>
      <c r="E1848" s="2" t="s">
        <v>10</v>
      </c>
      <c r="F1848" s="4">
        <v>1990.59</v>
      </c>
    </row>
    <row r="1849" spans="1:6" ht="15" thickBot="1" x14ac:dyDescent="0.35">
      <c r="A1849" s="3" t="s">
        <v>178</v>
      </c>
      <c r="B1849" s="2" t="s">
        <v>30</v>
      </c>
      <c r="C1849" s="2" t="s">
        <v>8</v>
      </c>
      <c r="D1849" s="2" t="s">
        <v>9</v>
      </c>
      <c r="E1849" s="2" t="s">
        <v>24</v>
      </c>
      <c r="F1849" s="4">
        <v>4212.5026310000003</v>
      </c>
    </row>
    <row r="1850" spans="1:6" ht="15" thickBot="1" x14ac:dyDescent="0.35">
      <c r="A1850" s="3" t="s">
        <v>45</v>
      </c>
      <c r="B1850" s="2" t="s">
        <v>7</v>
      </c>
      <c r="C1850" s="2" t="s">
        <v>8</v>
      </c>
      <c r="D1850" s="2" t="s">
        <v>9</v>
      </c>
      <c r="E1850" s="2" t="s">
        <v>15</v>
      </c>
      <c r="F1850" s="4">
        <v>2388.243219</v>
      </c>
    </row>
    <row r="1851" spans="1:6" ht="15" thickBot="1" x14ac:dyDescent="0.35">
      <c r="A1851" s="3" t="s">
        <v>70</v>
      </c>
      <c r="B1851" s="2" t="s">
        <v>19</v>
      </c>
      <c r="C1851" s="2" t="s">
        <v>34</v>
      </c>
      <c r="D1851" s="2" t="s">
        <v>9</v>
      </c>
      <c r="E1851" s="2" t="s">
        <v>24</v>
      </c>
      <c r="F1851" s="4">
        <v>318.91989990000002</v>
      </c>
    </row>
    <row r="1852" spans="1:6" ht="15" thickBot="1" x14ac:dyDescent="0.35">
      <c r="A1852" s="3" t="s">
        <v>16</v>
      </c>
      <c r="B1852" s="2" t="s">
        <v>17</v>
      </c>
      <c r="C1852" s="2" t="s">
        <v>13</v>
      </c>
      <c r="D1852" s="2" t="s">
        <v>14</v>
      </c>
      <c r="E1852" s="2" t="s">
        <v>10</v>
      </c>
      <c r="F1852" s="4">
        <v>365.96</v>
      </c>
    </row>
    <row r="1853" spans="1:6" ht="15" thickBot="1" x14ac:dyDescent="0.35">
      <c r="A1853" s="3" t="s">
        <v>211</v>
      </c>
      <c r="B1853" s="2" t="s">
        <v>7</v>
      </c>
      <c r="C1853" s="2" t="s">
        <v>34</v>
      </c>
      <c r="D1853" s="2" t="s">
        <v>28</v>
      </c>
      <c r="E1853" s="2" t="s">
        <v>10</v>
      </c>
      <c r="F1853" s="4">
        <v>1353.72</v>
      </c>
    </row>
    <row r="1854" spans="1:6" ht="15" thickBot="1" x14ac:dyDescent="0.35">
      <c r="A1854" s="3" t="s">
        <v>213</v>
      </c>
      <c r="B1854" s="2" t="s">
        <v>12</v>
      </c>
      <c r="C1854" s="2" t="s">
        <v>34</v>
      </c>
      <c r="D1854" s="2" t="s">
        <v>14</v>
      </c>
      <c r="E1854" s="2" t="s">
        <v>24</v>
      </c>
      <c r="F1854" s="4">
        <v>3026.73</v>
      </c>
    </row>
    <row r="1855" spans="1:6" ht="15" thickBot="1" x14ac:dyDescent="0.35">
      <c r="A1855" s="3" t="s">
        <v>179</v>
      </c>
      <c r="B1855" s="2" t="s">
        <v>7</v>
      </c>
      <c r="C1855" s="2" t="s">
        <v>13</v>
      </c>
      <c r="D1855" s="2" t="s">
        <v>14</v>
      </c>
      <c r="E1855" s="2" t="s">
        <v>10</v>
      </c>
      <c r="F1855" s="4">
        <v>4344.96</v>
      </c>
    </row>
    <row r="1856" spans="1:6" ht="15" thickBot="1" x14ac:dyDescent="0.35">
      <c r="A1856" s="3" t="s">
        <v>95</v>
      </c>
      <c r="B1856" s="2" t="s">
        <v>30</v>
      </c>
      <c r="C1856" s="2" t="s">
        <v>8</v>
      </c>
      <c r="D1856" s="2" t="s">
        <v>9</v>
      </c>
      <c r="E1856" s="2" t="s">
        <v>10</v>
      </c>
      <c r="F1856" s="4">
        <v>2412.9017549999999</v>
      </c>
    </row>
    <row r="1857" spans="1:6" ht="15" thickBot="1" x14ac:dyDescent="0.35">
      <c r="A1857" s="3" t="s">
        <v>110</v>
      </c>
      <c r="B1857" s="2" t="s">
        <v>12</v>
      </c>
      <c r="C1857" s="2" t="s">
        <v>13</v>
      </c>
      <c r="D1857" s="2" t="s">
        <v>28</v>
      </c>
      <c r="E1857" s="2" t="s">
        <v>24</v>
      </c>
      <c r="F1857" s="4">
        <v>4239.84</v>
      </c>
    </row>
    <row r="1858" spans="1:6" ht="15" thickBot="1" x14ac:dyDescent="0.35">
      <c r="A1858" s="3" t="s">
        <v>161</v>
      </c>
      <c r="B1858" s="2" t="s">
        <v>7</v>
      </c>
      <c r="C1858" s="2" t="s">
        <v>13</v>
      </c>
      <c r="D1858" s="2" t="s">
        <v>9</v>
      </c>
      <c r="E1858" s="2" t="s">
        <v>15</v>
      </c>
      <c r="F1858" s="4">
        <v>3759.010796</v>
      </c>
    </row>
    <row r="1859" spans="1:6" ht="15" thickBot="1" x14ac:dyDescent="0.35">
      <c r="A1859" s="3" t="s">
        <v>137</v>
      </c>
      <c r="B1859" s="2" t="s">
        <v>17</v>
      </c>
      <c r="C1859" s="2" t="s">
        <v>23</v>
      </c>
      <c r="D1859" s="2" t="s">
        <v>14</v>
      </c>
      <c r="E1859" s="2" t="s">
        <v>10</v>
      </c>
      <c r="F1859" s="4">
        <v>3558.82</v>
      </c>
    </row>
    <row r="1860" spans="1:6" ht="15" thickBot="1" x14ac:dyDescent="0.35">
      <c r="A1860" s="3" t="s">
        <v>143</v>
      </c>
      <c r="B1860" s="2" t="s">
        <v>17</v>
      </c>
      <c r="C1860" s="2" t="s">
        <v>13</v>
      </c>
      <c r="D1860" s="2" t="s">
        <v>28</v>
      </c>
      <c r="E1860" s="2" t="s">
        <v>15</v>
      </c>
      <c r="F1860" s="4">
        <v>2610.12</v>
      </c>
    </row>
    <row r="1861" spans="1:6" ht="15" thickBot="1" x14ac:dyDescent="0.35">
      <c r="A1861" s="3" t="s">
        <v>180</v>
      </c>
      <c r="B1861" s="2" t="s">
        <v>30</v>
      </c>
      <c r="C1861" s="2" t="s">
        <v>34</v>
      </c>
      <c r="D1861" s="2" t="s">
        <v>28</v>
      </c>
      <c r="E1861" s="2" t="s">
        <v>10</v>
      </c>
      <c r="F1861" s="4">
        <v>2651.33</v>
      </c>
    </row>
    <row r="1862" spans="1:6" ht="15" thickBot="1" x14ac:dyDescent="0.35">
      <c r="A1862" s="3" t="s">
        <v>93</v>
      </c>
      <c r="B1862" s="2" t="s">
        <v>30</v>
      </c>
      <c r="C1862" s="2" t="s">
        <v>23</v>
      </c>
      <c r="D1862" s="2" t="s">
        <v>28</v>
      </c>
      <c r="E1862" s="2" t="s">
        <v>24</v>
      </c>
      <c r="F1862" s="4">
        <v>1018.53</v>
      </c>
    </row>
    <row r="1863" spans="1:6" ht="15" thickBot="1" x14ac:dyDescent="0.35">
      <c r="A1863" s="3" t="s">
        <v>110</v>
      </c>
      <c r="B1863" s="2" t="s">
        <v>12</v>
      </c>
      <c r="C1863" s="2" t="s">
        <v>23</v>
      </c>
      <c r="D1863" s="2" t="s">
        <v>9</v>
      </c>
      <c r="E1863" s="2" t="s">
        <v>15</v>
      </c>
      <c r="F1863" s="4">
        <v>503.93</v>
      </c>
    </row>
    <row r="1864" spans="1:6" ht="15" thickBot="1" x14ac:dyDescent="0.35">
      <c r="A1864" s="3" t="s">
        <v>38</v>
      </c>
      <c r="B1864" s="2" t="s">
        <v>30</v>
      </c>
      <c r="C1864" s="2" t="s">
        <v>13</v>
      </c>
      <c r="D1864" s="2" t="s">
        <v>9</v>
      </c>
      <c r="E1864" s="2" t="s">
        <v>10</v>
      </c>
      <c r="F1864" s="4">
        <v>3013.4457640000001</v>
      </c>
    </row>
    <row r="1865" spans="1:6" ht="15" thickBot="1" x14ac:dyDescent="0.35">
      <c r="A1865" s="3" t="s">
        <v>81</v>
      </c>
      <c r="B1865" s="2" t="s">
        <v>12</v>
      </c>
      <c r="C1865" s="2" t="s">
        <v>13</v>
      </c>
      <c r="D1865" s="2" t="s">
        <v>28</v>
      </c>
      <c r="E1865" s="2" t="s">
        <v>10</v>
      </c>
      <c r="F1865" s="4">
        <v>1639.95</v>
      </c>
    </row>
    <row r="1866" spans="1:6" ht="15" thickBot="1" x14ac:dyDescent="0.35">
      <c r="A1866" s="3" t="s">
        <v>125</v>
      </c>
      <c r="B1866" s="2" t="s">
        <v>7</v>
      </c>
      <c r="C1866" s="2" t="s">
        <v>23</v>
      </c>
      <c r="D1866" s="2" t="s">
        <v>14</v>
      </c>
      <c r="E1866" s="2" t="s">
        <v>24</v>
      </c>
      <c r="F1866" s="4">
        <v>4092.48</v>
      </c>
    </row>
    <row r="1867" spans="1:6" ht="15" thickBot="1" x14ac:dyDescent="0.35">
      <c r="A1867" s="3" t="s">
        <v>185</v>
      </c>
      <c r="B1867" s="2" t="s">
        <v>30</v>
      </c>
      <c r="C1867" s="2" t="s">
        <v>13</v>
      </c>
      <c r="D1867" s="2" t="s">
        <v>14</v>
      </c>
      <c r="E1867" s="2" t="s">
        <v>15</v>
      </c>
      <c r="F1867" s="4">
        <v>730.62</v>
      </c>
    </row>
    <row r="1868" spans="1:6" ht="15" thickBot="1" x14ac:dyDescent="0.35">
      <c r="A1868" s="3" t="s">
        <v>128</v>
      </c>
      <c r="B1868" s="2" t="s">
        <v>12</v>
      </c>
      <c r="C1868" s="2" t="s">
        <v>8</v>
      </c>
      <c r="D1868" s="2" t="s">
        <v>9</v>
      </c>
      <c r="E1868" s="2" t="s">
        <v>24</v>
      </c>
      <c r="F1868" s="4">
        <v>5247.8932150000001</v>
      </c>
    </row>
    <row r="1869" spans="1:6" ht="15" thickBot="1" x14ac:dyDescent="0.35">
      <c r="A1869" s="3" t="s">
        <v>201</v>
      </c>
      <c r="B1869" s="2" t="s">
        <v>12</v>
      </c>
      <c r="C1869" s="2" t="s">
        <v>34</v>
      </c>
      <c r="D1869" s="2" t="s">
        <v>14</v>
      </c>
      <c r="E1869" s="2" t="s">
        <v>24</v>
      </c>
      <c r="F1869" s="4">
        <v>2947.53</v>
      </c>
    </row>
    <row r="1870" spans="1:6" ht="15" thickBot="1" x14ac:dyDescent="0.35">
      <c r="A1870" s="3" t="s">
        <v>129</v>
      </c>
      <c r="B1870" s="2" t="s">
        <v>17</v>
      </c>
      <c r="C1870" s="2" t="s">
        <v>8</v>
      </c>
      <c r="D1870" s="2" t="s">
        <v>28</v>
      </c>
      <c r="E1870" s="2" t="s">
        <v>24</v>
      </c>
      <c r="F1870" s="4">
        <v>571.92999999999995</v>
      </c>
    </row>
    <row r="1871" spans="1:6" ht="15" thickBot="1" x14ac:dyDescent="0.35">
      <c r="A1871" s="3" t="s">
        <v>102</v>
      </c>
      <c r="B1871" s="2" t="s">
        <v>19</v>
      </c>
      <c r="C1871" s="2" t="s">
        <v>8</v>
      </c>
      <c r="D1871" s="2" t="s">
        <v>9</v>
      </c>
      <c r="E1871" s="2" t="s">
        <v>15</v>
      </c>
      <c r="F1871" s="4">
        <v>4065.7376650000001</v>
      </c>
    </row>
    <row r="1872" spans="1:6" ht="15" thickBot="1" x14ac:dyDescent="0.35">
      <c r="A1872" s="3" t="s">
        <v>39</v>
      </c>
      <c r="B1872" s="2" t="s">
        <v>7</v>
      </c>
      <c r="C1872" s="2" t="s">
        <v>8</v>
      </c>
      <c r="D1872" s="2" t="s">
        <v>9</v>
      </c>
      <c r="E1872" s="2" t="s">
        <v>10</v>
      </c>
      <c r="F1872" s="4">
        <v>1983.30376</v>
      </c>
    </row>
    <row r="1873" spans="1:6" ht="15" thickBot="1" x14ac:dyDescent="0.35">
      <c r="A1873" s="3" t="s">
        <v>134</v>
      </c>
      <c r="B1873" s="2" t="s">
        <v>7</v>
      </c>
      <c r="C1873" s="2" t="s">
        <v>34</v>
      </c>
      <c r="D1873" s="2" t="s">
        <v>14</v>
      </c>
      <c r="E1873" s="2" t="s">
        <v>24</v>
      </c>
      <c r="F1873" s="4">
        <v>3226.08</v>
      </c>
    </row>
    <row r="1874" spans="1:6" ht="15" thickBot="1" x14ac:dyDescent="0.35">
      <c r="A1874" s="3" t="s">
        <v>95</v>
      </c>
      <c r="B1874" s="2" t="s">
        <v>30</v>
      </c>
      <c r="C1874" s="2" t="s">
        <v>8</v>
      </c>
      <c r="D1874" s="2" t="s">
        <v>9</v>
      </c>
      <c r="E1874" s="2" t="s">
        <v>15</v>
      </c>
      <c r="F1874" s="4">
        <v>885.44218950000004</v>
      </c>
    </row>
    <row r="1875" spans="1:6" ht="15" thickBot="1" x14ac:dyDescent="0.35">
      <c r="A1875" s="3" t="s">
        <v>196</v>
      </c>
      <c r="B1875" s="2" t="s">
        <v>30</v>
      </c>
      <c r="C1875" s="2" t="s">
        <v>13</v>
      </c>
      <c r="D1875" s="2" t="s">
        <v>14</v>
      </c>
      <c r="E1875" s="2" t="s">
        <v>15</v>
      </c>
      <c r="F1875" s="4">
        <v>3998.24</v>
      </c>
    </row>
    <row r="1876" spans="1:6" ht="15" thickBot="1" x14ac:dyDescent="0.35">
      <c r="A1876" s="3" t="s">
        <v>164</v>
      </c>
      <c r="B1876" s="2" t="s">
        <v>19</v>
      </c>
      <c r="C1876" s="2" t="s">
        <v>23</v>
      </c>
      <c r="D1876" s="2" t="s">
        <v>14</v>
      </c>
      <c r="E1876" s="2" t="s">
        <v>15</v>
      </c>
      <c r="F1876" s="4">
        <v>2639.81</v>
      </c>
    </row>
    <row r="1877" spans="1:6" ht="15" thickBot="1" x14ac:dyDescent="0.35">
      <c r="A1877" s="3" t="s">
        <v>199</v>
      </c>
      <c r="B1877" s="2" t="s">
        <v>17</v>
      </c>
      <c r="C1877" s="2" t="s">
        <v>34</v>
      </c>
      <c r="D1877" s="2" t="s">
        <v>14</v>
      </c>
      <c r="E1877" s="2" t="s">
        <v>10</v>
      </c>
      <c r="F1877" s="4">
        <v>2835.04</v>
      </c>
    </row>
    <row r="1878" spans="1:6" ht="15" thickBot="1" x14ac:dyDescent="0.35">
      <c r="A1878" s="3" t="s">
        <v>21</v>
      </c>
      <c r="B1878" s="2" t="s">
        <v>19</v>
      </c>
      <c r="C1878" s="2" t="s">
        <v>23</v>
      </c>
      <c r="D1878" s="2" t="s">
        <v>14</v>
      </c>
      <c r="E1878" s="2" t="s">
        <v>10</v>
      </c>
      <c r="F1878" s="4">
        <v>2182.6999999999998</v>
      </c>
    </row>
    <row r="1879" spans="1:6" ht="15" thickBot="1" x14ac:dyDescent="0.35">
      <c r="A1879" s="3" t="s">
        <v>55</v>
      </c>
      <c r="B1879" s="2" t="s">
        <v>12</v>
      </c>
      <c r="C1879" s="2" t="s">
        <v>13</v>
      </c>
      <c r="D1879" s="2" t="s">
        <v>28</v>
      </c>
      <c r="E1879" s="2" t="s">
        <v>10</v>
      </c>
      <c r="F1879" s="4">
        <v>3507.39</v>
      </c>
    </row>
    <row r="1880" spans="1:6" ht="15" thickBot="1" x14ac:dyDescent="0.35">
      <c r="A1880" s="3" t="s">
        <v>209</v>
      </c>
      <c r="B1880" s="2" t="s">
        <v>7</v>
      </c>
      <c r="C1880" s="2" t="s">
        <v>13</v>
      </c>
      <c r="D1880" s="2" t="s">
        <v>14</v>
      </c>
      <c r="E1880" s="2" t="s">
        <v>24</v>
      </c>
      <c r="F1880" s="4">
        <v>4743.79</v>
      </c>
    </row>
    <row r="1881" spans="1:6" ht="15" thickBot="1" x14ac:dyDescent="0.35">
      <c r="A1881" s="3" t="s">
        <v>194</v>
      </c>
      <c r="B1881" s="2" t="s">
        <v>17</v>
      </c>
      <c r="C1881" s="2" t="s">
        <v>13</v>
      </c>
      <c r="D1881" s="2" t="s">
        <v>28</v>
      </c>
      <c r="E1881" s="2" t="s">
        <v>10</v>
      </c>
      <c r="F1881" s="4">
        <v>2798.51</v>
      </c>
    </row>
    <row r="1882" spans="1:6" ht="15" thickBot="1" x14ac:dyDescent="0.35">
      <c r="A1882" s="3" t="s">
        <v>179</v>
      </c>
      <c r="B1882" s="2" t="s">
        <v>7</v>
      </c>
      <c r="C1882" s="2" t="s">
        <v>8</v>
      </c>
      <c r="D1882" s="2" t="s">
        <v>14</v>
      </c>
      <c r="E1882" s="2" t="s">
        <v>15</v>
      </c>
      <c r="F1882" s="4">
        <v>2111.5100000000002</v>
      </c>
    </row>
    <row r="1883" spans="1:6" ht="15" thickBot="1" x14ac:dyDescent="0.35">
      <c r="A1883" s="3" t="s">
        <v>107</v>
      </c>
      <c r="B1883" s="2" t="s">
        <v>30</v>
      </c>
      <c r="C1883" s="2" t="s">
        <v>8</v>
      </c>
      <c r="D1883" s="2" t="s">
        <v>28</v>
      </c>
      <c r="E1883" s="2" t="s">
        <v>15</v>
      </c>
      <c r="F1883" s="4">
        <v>440.45</v>
      </c>
    </row>
    <row r="1884" spans="1:6" ht="15" thickBot="1" x14ac:dyDescent="0.35">
      <c r="A1884" s="3" t="s">
        <v>75</v>
      </c>
      <c r="B1884" s="2" t="s">
        <v>19</v>
      </c>
      <c r="C1884" s="2" t="s">
        <v>13</v>
      </c>
      <c r="D1884" s="2" t="s">
        <v>14</v>
      </c>
      <c r="E1884" s="2" t="s">
        <v>15</v>
      </c>
      <c r="F1884" s="4">
        <v>2532.06</v>
      </c>
    </row>
    <row r="1885" spans="1:6" ht="15" thickBot="1" x14ac:dyDescent="0.35">
      <c r="A1885" s="3" t="s">
        <v>133</v>
      </c>
      <c r="B1885" s="2" t="s">
        <v>17</v>
      </c>
      <c r="C1885" s="2" t="s">
        <v>13</v>
      </c>
      <c r="D1885" s="2" t="s">
        <v>9</v>
      </c>
      <c r="E1885" s="2" t="s">
        <v>15</v>
      </c>
      <c r="F1885" s="4">
        <v>3682.33</v>
      </c>
    </row>
    <row r="1886" spans="1:6" ht="15" thickBot="1" x14ac:dyDescent="0.35">
      <c r="A1886" s="3" t="s">
        <v>189</v>
      </c>
      <c r="B1886" s="2" t="s">
        <v>19</v>
      </c>
      <c r="C1886" s="2" t="s">
        <v>23</v>
      </c>
      <c r="D1886" s="2" t="s">
        <v>28</v>
      </c>
      <c r="E1886" s="2" t="s">
        <v>15</v>
      </c>
      <c r="F1886" s="4">
        <v>1546.78</v>
      </c>
    </row>
    <row r="1887" spans="1:6" ht="15" thickBot="1" x14ac:dyDescent="0.35">
      <c r="A1887" s="3" t="s">
        <v>125</v>
      </c>
      <c r="B1887" s="2" t="s">
        <v>7</v>
      </c>
      <c r="C1887" s="2" t="s">
        <v>23</v>
      </c>
      <c r="D1887" s="2" t="s">
        <v>28</v>
      </c>
      <c r="E1887" s="2" t="s">
        <v>15</v>
      </c>
      <c r="F1887" s="4">
        <v>2135.9699999999998</v>
      </c>
    </row>
    <row r="1888" spans="1:6" ht="15" thickBot="1" x14ac:dyDescent="0.35">
      <c r="A1888" s="3" t="s">
        <v>180</v>
      </c>
      <c r="B1888" s="2" t="s">
        <v>30</v>
      </c>
      <c r="C1888" s="2" t="s">
        <v>13</v>
      </c>
      <c r="D1888" s="2" t="s">
        <v>28</v>
      </c>
      <c r="E1888" s="2" t="s">
        <v>10</v>
      </c>
      <c r="F1888" s="4">
        <v>1344</v>
      </c>
    </row>
    <row r="1889" spans="1:6" ht="15" thickBot="1" x14ac:dyDescent="0.35">
      <c r="A1889" s="3" t="s">
        <v>143</v>
      </c>
      <c r="B1889" s="2" t="s">
        <v>17</v>
      </c>
      <c r="C1889" s="2" t="s">
        <v>23</v>
      </c>
      <c r="D1889" s="2" t="s">
        <v>28</v>
      </c>
      <c r="E1889" s="2" t="s">
        <v>10</v>
      </c>
      <c r="F1889" s="4">
        <v>1009.35</v>
      </c>
    </row>
    <row r="1890" spans="1:6" ht="15" thickBot="1" x14ac:dyDescent="0.35">
      <c r="A1890" s="3" t="s">
        <v>38</v>
      </c>
      <c r="B1890" s="2" t="s">
        <v>30</v>
      </c>
      <c r="C1890" s="2" t="s">
        <v>8</v>
      </c>
      <c r="D1890" s="2" t="s">
        <v>28</v>
      </c>
      <c r="E1890" s="2" t="s">
        <v>24</v>
      </c>
      <c r="F1890" s="4">
        <v>1620.64</v>
      </c>
    </row>
    <row r="1891" spans="1:6" ht="15" thickBot="1" x14ac:dyDescent="0.35">
      <c r="A1891" s="3" t="s">
        <v>85</v>
      </c>
      <c r="B1891" s="2" t="s">
        <v>30</v>
      </c>
      <c r="C1891" s="2" t="s">
        <v>34</v>
      </c>
      <c r="D1891" s="2" t="s">
        <v>14</v>
      </c>
      <c r="E1891" s="2" t="s">
        <v>10</v>
      </c>
      <c r="F1891" s="4">
        <v>3874.19</v>
      </c>
    </row>
    <row r="1892" spans="1:6" ht="15" thickBot="1" x14ac:dyDescent="0.35">
      <c r="A1892" s="3" t="s">
        <v>92</v>
      </c>
      <c r="B1892" s="2" t="s">
        <v>30</v>
      </c>
      <c r="C1892" s="2" t="s">
        <v>8</v>
      </c>
      <c r="D1892" s="2" t="s">
        <v>28</v>
      </c>
      <c r="E1892" s="2" t="s">
        <v>15</v>
      </c>
      <c r="F1892" s="4">
        <v>3045.93</v>
      </c>
    </row>
    <row r="1893" spans="1:6" ht="15" thickBot="1" x14ac:dyDescent="0.35">
      <c r="A1893" s="3" t="s">
        <v>60</v>
      </c>
      <c r="B1893" s="2" t="s">
        <v>12</v>
      </c>
      <c r="C1893" s="2" t="s">
        <v>8</v>
      </c>
      <c r="D1893" s="2" t="s">
        <v>28</v>
      </c>
      <c r="E1893" s="2" t="s">
        <v>24</v>
      </c>
      <c r="F1893" s="4">
        <v>1476.28</v>
      </c>
    </row>
    <row r="1894" spans="1:6" ht="15" thickBot="1" x14ac:dyDescent="0.35">
      <c r="A1894" s="3" t="s">
        <v>117</v>
      </c>
      <c r="B1894" s="2" t="s">
        <v>7</v>
      </c>
      <c r="C1894" s="2" t="s">
        <v>23</v>
      </c>
      <c r="D1894" s="2" t="s">
        <v>9</v>
      </c>
      <c r="E1894" s="2" t="s">
        <v>15</v>
      </c>
      <c r="F1894" s="4">
        <v>3862.2531779999999</v>
      </c>
    </row>
    <row r="1895" spans="1:6" ht="15" thickBot="1" x14ac:dyDescent="0.35">
      <c r="A1895" s="3" t="s">
        <v>133</v>
      </c>
      <c r="B1895" s="2" t="s">
        <v>17</v>
      </c>
      <c r="C1895" s="2" t="s">
        <v>13</v>
      </c>
      <c r="D1895" s="2" t="s">
        <v>14</v>
      </c>
      <c r="E1895" s="2" t="s">
        <v>24</v>
      </c>
      <c r="F1895" s="4">
        <v>2517.98</v>
      </c>
    </row>
    <row r="1896" spans="1:6" ht="15" thickBot="1" x14ac:dyDescent="0.35">
      <c r="A1896" s="3" t="s">
        <v>158</v>
      </c>
      <c r="B1896" s="2" t="s">
        <v>30</v>
      </c>
      <c r="C1896" s="2" t="s">
        <v>23</v>
      </c>
      <c r="D1896" s="2" t="s">
        <v>14</v>
      </c>
      <c r="E1896" s="2" t="s">
        <v>10</v>
      </c>
      <c r="F1896" s="4">
        <v>3737.89</v>
      </c>
    </row>
    <row r="1897" spans="1:6" ht="15" thickBot="1" x14ac:dyDescent="0.35">
      <c r="A1897" s="3" t="s">
        <v>141</v>
      </c>
      <c r="B1897" s="2" t="s">
        <v>7</v>
      </c>
      <c r="C1897" s="2" t="s">
        <v>13</v>
      </c>
      <c r="D1897" s="2" t="s">
        <v>14</v>
      </c>
      <c r="E1897" s="2" t="s">
        <v>10</v>
      </c>
      <c r="F1897" s="4">
        <v>1111.82</v>
      </c>
    </row>
    <row r="1898" spans="1:6" ht="15" thickBot="1" x14ac:dyDescent="0.35">
      <c r="A1898" s="3" t="s">
        <v>103</v>
      </c>
      <c r="B1898" s="2" t="s">
        <v>19</v>
      </c>
      <c r="C1898" s="2" t="s">
        <v>23</v>
      </c>
      <c r="D1898" s="2" t="s">
        <v>14</v>
      </c>
      <c r="E1898" s="2" t="s">
        <v>24</v>
      </c>
      <c r="F1898" s="4">
        <v>4547.9799999999996</v>
      </c>
    </row>
    <row r="1899" spans="1:6" ht="15" thickBot="1" x14ac:dyDescent="0.35">
      <c r="A1899" s="3" t="s">
        <v>216</v>
      </c>
      <c r="B1899" s="2" t="s">
        <v>17</v>
      </c>
      <c r="C1899" s="2" t="s">
        <v>13</v>
      </c>
      <c r="D1899" s="2" t="s">
        <v>9</v>
      </c>
      <c r="E1899" s="2" t="s">
        <v>24</v>
      </c>
      <c r="F1899" s="4">
        <v>5035.8731600000001</v>
      </c>
    </row>
    <row r="1900" spans="1:6" ht="15" thickBot="1" x14ac:dyDescent="0.35">
      <c r="A1900" s="3" t="s">
        <v>106</v>
      </c>
      <c r="B1900" s="2" t="s">
        <v>12</v>
      </c>
      <c r="C1900" s="2" t="s">
        <v>8</v>
      </c>
      <c r="D1900" s="2" t="s">
        <v>14</v>
      </c>
      <c r="E1900" s="2" t="s">
        <v>15</v>
      </c>
      <c r="F1900" s="4">
        <v>666.62</v>
      </c>
    </row>
    <row r="1901" spans="1:6" ht="15" thickBot="1" x14ac:dyDescent="0.35">
      <c r="A1901" s="3" t="s">
        <v>104</v>
      </c>
      <c r="B1901" s="2" t="s">
        <v>17</v>
      </c>
      <c r="C1901" s="2" t="s">
        <v>8</v>
      </c>
      <c r="D1901" s="2" t="s">
        <v>28</v>
      </c>
      <c r="E1901" s="2" t="s">
        <v>24</v>
      </c>
      <c r="F1901" s="4">
        <v>4848.67</v>
      </c>
    </row>
    <row r="1902" spans="1:6" ht="15" thickBot="1" x14ac:dyDescent="0.35">
      <c r="A1902" s="3" t="s">
        <v>181</v>
      </c>
      <c r="B1902" s="2" t="s">
        <v>30</v>
      </c>
      <c r="C1902" s="2" t="s">
        <v>13</v>
      </c>
      <c r="D1902" s="2" t="s">
        <v>28</v>
      </c>
      <c r="E1902" s="2" t="s">
        <v>24</v>
      </c>
      <c r="F1902" s="4">
        <v>965.26</v>
      </c>
    </row>
    <row r="1903" spans="1:6" ht="15" thickBot="1" x14ac:dyDescent="0.35">
      <c r="A1903" s="3" t="s">
        <v>102</v>
      </c>
      <c r="B1903" s="2" t="s">
        <v>19</v>
      </c>
      <c r="C1903" s="2" t="s">
        <v>34</v>
      </c>
      <c r="D1903" s="2" t="s">
        <v>9</v>
      </c>
      <c r="E1903" s="2" t="s">
        <v>24</v>
      </c>
      <c r="F1903" s="4">
        <v>3352.8806140000002</v>
      </c>
    </row>
    <row r="1904" spans="1:6" ht="15" thickBot="1" x14ac:dyDescent="0.35">
      <c r="A1904" s="3" t="s">
        <v>220</v>
      </c>
      <c r="B1904" s="2" t="s">
        <v>12</v>
      </c>
      <c r="C1904" s="2" t="s">
        <v>23</v>
      </c>
      <c r="D1904" s="2" t="s">
        <v>9</v>
      </c>
      <c r="E1904" s="2" t="s">
        <v>24</v>
      </c>
      <c r="F1904" s="4">
        <v>3960.6895800000002</v>
      </c>
    </row>
    <row r="1905" spans="1:6" ht="15" thickBot="1" x14ac:dyDescent="0.35">
      <c r="A1905" s="3" t="s">
        <v>185</v>
      </c>
      <c r="B1905" s="2" t="s">
        <v>30</v>
      </c>
      <c r="C1905" s="2" t="s">
        <v>8</v>
      </c>
      <c r="D1905" s="2" t="s">
        <v>28</v>
      </c>
      <c r="E1905" s="2" t="s">
        <v>24</v>
      </c>
      <c r="F1905" s="4">
        <v>4162.58</v>
      </c>
    </row>
    <row r="1906" spans="1:6" ht="15" thickBot="1" x14ac:dyDescent="0.35">
      <c r="A1906" s="3" t="s">
        <v>132</v>
      </c>
      <c r="B1906" s="2" t="s">
        <v>19</v>
      </c>
      <c r="C1906" s="2" t="s">
        <v>13</v>
      </c>
      <c r="D1906" s="2" t="s">
        <v>28</v>
      </c>
      <c r="E1906" s="2" t="s">
        <v>24</v>
      </c>
      <c r="F1906" s="4">
        <v>3555.25</v>
      </c>
    </row>
    <row r="1907" spans="1:6" ht="15" thickBot="1" x14ac:dyDescent="0.35">
      <c r="A1907" s="3" t="s">
        <v>55</v>
      </c>
      <c r="B1907" s="2" t="s">
        <v>12</v>
      </c>
      <c r="C1907" s="2" t="s">
        <v>34</v>
      </c>
      <c r="D1907" s="2" t="s">
        <v>9</v>
      </c>
      <c r="E1907" s="2" t="s">
        <v>24</v>
      </c>
      <c r="F1907" s="4">
        <v>4585.8885039999996</v>
      </c>
    </row>
    <row r="1908" spans="1:6" ht="15" thickBot="1" x14ac:dyDescent="0.35">
      <c r="A1908" s="3" t="s">
        <v>116</v>
      </c>
      <c r="B1908" s="2" t="s">
        <v>17</v>
      </c>
      <c r="C1908" s="2" t="s">
        <v>8</v>
      </c>
      <c r="D1908" s="2" t="s">
        <v>9</v>
      </c>
      <c r="E1908" s="2" t="s">
        <v>24</v>
      </c>
      <c r="F1908" s="4">
        <v>875.52542779999999</v>
      </c>
    </row>
    <row r="1909" spans="1:6" ht="15" thickBot="1" x14ac:dyDescent="0.35">
      <c r="A1909" s="3" t="s">
        <v>198</v>
      </c>
      <c r="B1909" s="2" t="s">
        <v>12</v>
      </c>
      <c r="C1909" s="2" t="s">
        <v>8</v>
      </c>
      <c r="D1909" s="2" t="s">
        <v>9</v>
      </c>
      <c r="E1909" s="2" t="s">
        <v>24</v>
      </c>
      <c r="F1909" s="4">
        <v>3686.6816829999998</v>
      </c>
    </row>
    <row r="1910" spans="1:6" ht="15" thickBot="1" x14ac:dyDescent="0.35">
      <c r="A1910" s="3" t="s">
        <v>173</v>
      </c>
      <c r="B1910" s="2" t="s">
        <v>30</v>
      </c>
      <c r="C1910" s="2" t="s">
        <v>8</v>
      </c>
      <c r="D1910" s="2" t="s">
        <v>14</v>
      </c>
      <c r="E1910" s="2" t="s">
        <v>24</v>
      </c>
      <c r="F1910" s="4">
        <v>2899.46</v>
      </c>
    </row>
    <row r="1911" spans="1:6" ht="15" thickBot="1" x14ac:dyDescent="0.35">
      <c r="A1911" s="3" t="s">
        <v>29</v>
      </c>
      <c r="B1911" s="2" t="s">
        <v>30</v>
      </c>
      <c r="C1911" s="2" t="s">
        <v>23</v>
      </c>
      <c r="D1911" s="2" t="s">
        <v>28</v>
      </c>
      <c r="E1911" s="2" t="s">
        <v>15</v>
      </c>
      <c r="F1911" s="4">
        <v>429.01</v>
      </c>
    </row>
    <row r="1912" spans="1:6" ht="15" thickBot="1" x14ac:dyDescent="0.35">
      <c r="A1912" s="3" t="s">
        <v>116</v>
      </c>
      <c r="B1912" s="2" t="s">
        <v>17</v>
      </c>
      <c r="C1912" s="2" t="s">
        <v>13</v>
      </c>
      <c r="D1912" s="2" t="s">
        <v>9</v>
      </c>
      <c r="E1912" s="2" t="s">
        <v>10</v>
      </c>
      <c r="F1912" s="4">
        <v>1770.1852530000001</v>
      </c>
    </row>
    <row r="1913" spans="1:6" ht="15" thickBot="1" x14ac:dyDescent="0.35">
      <c r="A1913" s="3" t="s">
        <v>71</v>
      </c>
      <c r="B1913" s="2" t="s">
        <v>7</v>
      </c>
      <c r="C1913" s="2" t="s">
        <v>23</v>
      </c>
      <c r="D1913" s="2" t="s">
        <v>28</v>
      </c>
      <c r="E1913" s="2" t="s">
        <v>15</v>
      </c>
      <c r="F1913" s="4">
        <v>2143.0300000000002</v>
      </c>
    </row>
    <row r="1914" spans="1:6" ht="15" thickBot="1" x14ac:dyDescent="0.35">
      <c r="A1914" s="3" t="s">
        <v>40</v>
      </c>
      <c r="B1914" s="2" t="s">
        <v>19</v>
      </c>
      <c r="C1914" s="2" t="s">
        <v>8</v>
      </c>
      <c r="D1914" s="2" t="s">
        <v>14</v>
      </c>
      <c r="E1914" s="2" t="s">
        <v>15</v>
      </c>
      <c r="F1914" s="4">
        <v>81.83</v>
      </c>
    </row>
    <row r="1915" spans="1:6" ht="15" thickBot="1" x14ac:dyDescent="0.35">
      <c r="A1915" s="3" t="s">
        <v>133</v>
      </c>
      <c r="B1915" s="2" t="s">
        <v>17</v>
      </c>
      <c r="C1915" s="2" t="s">
        <v>23</v>
      </c>
      <c r="D1915" s="2" t="s">
        <v>9</v>
      </c>
      <c r="E1915" s="2" t="s">
        <v>24</v>
      </c>
      <c r="F1915" s="4">
        <v>2577.6</v>
      </c>
    </row>
    <row r="1916" spans="1:6" ht="15" thickBot="1" x14ac:dyDescent="0.35">
      <c r="A1916" s="3" t="s">
        <v>60</v>
      </c>
      <c r="B1916" s="2" t="s">
        <v>12</v>
      </c>
      <c r="C1916" s="2" t="s">
        <v>8</v>
      </c>
      <c r="D1916" s="2" t="s">
        <v>9</v>
      </c>
      <c r="E1916" s="2" t="s">
        <v>15</v>
      </c>
      <c r="F1916" s="4">
        <v>5027.8617039999999</v>
      </c>
    </row>
    <row r="1917" spans="1:6" ht="15" thickBot="1" x14ac:dyDescent="0.35">
      <c r="A1917" s="3" t="s">
        <v>124</v>
      </c>
      <c r="B1917" s="2" t="s">
        <v>12</v>
      </c>
      <c r="C1917" s="2" t="s">
        <v>23</v>
      </c>
      <c r="D1917" s="2" t="s">
        <v>28</v>
      </c>
      <c r="E1917" s="2" t="s">
        <v>15</v>
      </c>
      <c r="F1917" s="4">
        <v>3269.61</v>
      </c>
    </row>
    <row r="1918" spans="1:6" ht="15" thickBot="1" x14ac:dyDescent="0.35">
      <c r="A1918" s="3" t="s">
        <v>198</v>
      </c>
      <c r="B1918" s="2" t="s">
        <v>12</v>
      </c>
      <c r="C1918" s="2" t="s">
        <v>13</v>
      </c>
      <c r="D1918" s="2" t="s">
        <v>9</v>
      </c>
      <c r="E1918" s="2" t="s">
        <v>10</v>
      </c>
      <c r="F1918" s="4">
        <v>3769.6593710000002</v>
      </c>
    </row>
    <row r="1919" spans="1:6" ht="15" thickBot="1" x14ac:dyDescent="0.35">
      <c r="A1919" s="3" t="s">
        <v>180</v>
      </c>
      <c r="B1919" s="2" t="s">
        <v>30</v>
      </c>
      <c r="C1919" s="2" t="s">
        <v>23</v>
      </c>
      <c r="D1919" s="2" t="s">
        <v>14</v>
      </c>
      <c r="E1919" s="2" t="s">
        <v>10</v>
      </c>
      <c r="F1919" s="4">
        <v>3970.3</v>
      </c>
    </row>
    <row r="1920" spans="1:6" ht="15" thickBot="1" x14ac:dyDescent="0.35">
      <c r="A1920" s="3" t="s">
        <v>131</v>
      </c>
      <c r="B1920" s="2" t="s">
        <v>17</v>
      </c>
      <c r="C1920" s="2" t="s">
        <v>23</v>
      </c>
      <c r="D1920" s="2" t="s">
        <v>14</v>
      </c>
      <c r="E1920" s="2" t="s">
        <v>10</v>
      </c>
      <c r="F1920" s="4">
        <v>2665.16</v>
      </c>
    </row>
    <row r="1921" spans="1:6" ht="15" thickBot="1" x14ac:dyDescent="0.35">
      <c r="A1921" s="3" t="s">
        <v>182</v>
      </c>
      <c r="B1921" s="2" t="s">
        <v>12</v>
      </c>
      <c r="C1921" s="2" t="s">
        <v>23</v>
      </c>
      <c r="D1921" s="2" t="s">
        <v>14</v>
      </c>
      <c r="E1921" s="2" t="s">
        <v>24</v>
      </c>
      <c r="F1921" s="4">
        <v>374.88</v>
      </c>
    </row>
    <row r="1922" spans="1:6" ht="15" thickBot="1" x14ac:dyDescent="0.35">
      <c r="A1922" s="3" t="s">
        <v>214</v>
      </c>
      <c r="B1922" s="2" t="s">
        <v>30</v>
      </c>
      <c r="C1922" s="2" t="s">
        <v>13</v>
      </c>
      <c r="D1922" s="2" t="s">
        <v>9</v>
      </c>
      <c r="E1922" s="2" t="s">
        <v>10</v>
      </c>
      <c r="F1922" s="4">
        <v>1106.076894</v>
      </c>
    </row>
    <row r="1923" spans="1:6" ht="15" thickBot="1" x14ac:dyDescent="0.35">
      <c r="A1923" s="3" t="s">
        <v>207</v>
      </c>
      <c r="B1923" s="2" t="s">
        <v>17</v>
      </c>
      <c r="C1923" s="2" t="s">
        <v>8</v>
      </c>
      <c r="D1923" s="2" t="s">
        <v>9</v>
      </c>
      <c r="E1923" s="2" t="s">
        <v>15</v>
      </c>
      <c r="F1923" s="4">
        <v>2876.4781170000001</v>
      </c>
    </row>
    <row r="1924" spans="1:6" ht="15" thickBot="1" x14ac:dyDescent="0.35">
      <c r="A1924" s="3" t="s">
        <v>67</v>
      </c>
      <c r="B1924" s="2" t="s">
        <v>7</v>
      </c>
      <c r="C1924" s="2" t="s">
        <v>34</v>
      </c>
      <c r="D1924" s="2" t="s">
        <v>14</v>
      </c>
      <c r="E1924" s="2" t="s">
        <v>24</v>
      </c>
      <c r="F1924" s="4">
        <v>4394.3599999999997</v>
      </c>
    </row>
    <row r="1925" spans="1:6" ht="15" thickBot="1" x14ac:dyDescent="0.35">
      <c r="A1925" s="3" t="s">
        <v>191</v>
      </c>
      <c r="B1925" s="2" t="s">
        <v>12</v>
      </c>
      <c r="C1925" s="2" t="s">
        <v>34</v>
      </c>
      <c r="D1925" s="2" t="s">
        <v>28</v>
      </c>
      <c r="E1925" s="2" t="s">
        <v>10</v>
      </c>
      <c r="F1925" s="4">
        <v>3682.56</v>
      </c>
    </row>
    <row r="1926" spans="1:6" ht="15" thickBot="1" x14ac:dyDescent="0.35">
      <c r="A1926" s="3" t="s">
        <v>179</v>
      </c>
      <c r="B1926" s="2" t="s">
        <v>7</v>
      </c>
      <c r="C1926" s="2" t="s">
        <v>23</v>
      </c>
      <c r="D1926" s="2" t="s">
        <v>14</v>
      </c>
      <c r="E1926" s="2" t="s">
        <v>24</v>
      </c>
      <c r="F1926" s="4">
        <v>2576.87</v>
      </c>
    </row>
    <row r="1927" spans="1:6" ht="15" thickBot="1" x14ac:dyDescent="0.35">
      <c r="A1927" s="3" t="s">
        <v>217</v>
      </c>
      <c r="B1927" s="2" t="s">
        <v>19</v>
      </c>
      <c r="C1927" s="2" t="s">
        <v>23</v>
      </c>
      <c r="D1927" s="2" t="s">
        <v>14</v>
      </c>
      <c r="E1927" s="2" t="s">
        <v>15</v>
      </c>
      <c r="F1927" s="4">
        <v>4625.6000000000004</v>
      </c>
    </row>
    <row r="1928" spans="1:6" ht="15" thickBot="1" x14ac:dyDescent="0.35">
      <c r="A1928" s="3" t="s">
        <v>161</v>
      </c>
      <c r="B1928" s="2" t="s">
        <v>7</v>
      </c>
      <c r="C1928" s="2" t="s">
        <v>23</v>
      </c>
      <c r="D1928" s="2" t="s">
        <v>14</v>
      </c>
      <c r="E1928" s="2" t="s">
        <v>24</v>
      </c>
      <c r="F1928" s="4">
        <v>3554.21</v>
      </c>
    </row>
    <row r="1929" spans="1:6" ht="15" thickBot="1" x14ac:dyDescent="0.35">
      <c r="A1929" s="3" t="s">
        <v>209</v>
      </c>
      <c r="B1929" s="2" t="s">
        <v>7</v>
      </c>
      <c r="C1929" s="2" t="s">
        <v>34</v>
      </c>
      <c r="D1929" s="2" t="s">
        <v>14</v>
      </c>
      <c r="E1929" s="2" t="s">
        <v>24</v>
      </c>
      <c r="F1929" s="4">
        <v>2525.88</v>
      </c>
    </row>
    <row r="1930" spans="1:6" ht="15" thickBot="1" x14ac:dyDescent="0.35">
      <c r="A1930" s="3" t="s">
        <v>76</v>
      </c>
      <c r="B1930" s="2" t="s">
        <v>17</v>
      </c>
      <c r="C1930" s="2" t="s">
        <v>8</v>
      </c>
      <c r="D1930" s="2" t="s">
        <v>9</v>
      </c>
      <c r="E1930" s="2" t="s">
        <v>15</v>
      </c>
      <c r="F1930" s="4">
        <v>2134.7955550000001</v>
      </c>
    </row>
    <row r="1931" spans="1:6" ht="15" thickBot="1" x14ac:dyDescent="0.35">
      <c r="A1931" s="3" t="s">
        <v>80</v>
      </c>
      <c r="B1931" s="2" t="s">
        <v>17</v>
      </c>
      <c r="C1931" s="2" t="s">
        <v>34</v>
      </c>
      <c r="D1931" s="2" t="s">
        <v>28</v>
      </c>
      <c r="E1931" s="2" t="s">
        <v>10</v>
      </c>
      <c r="F1931" s="4">
        <v>798.55</v>
      </c>
    </row>
    <row r="1932" spans="1:6" ht="15" thickBot="1" x14ac:dyDescent="0.35">
      <c r="A1932" s="3" t="s">
        <v>207</v>
      </c>
      <c r="B1932" s="2" t="s">
        <v>17</v>
      </c>
      <c r="C1932" s="2" t="s">
        <v>8</v>
      </c>
      <c r="D1932" s="2" t="s">
        <v>28</v>
      </c>
      <c r="E1932" s="2" t="s">
        <v>24</v>
      </c>
      <c r="F1932" s="4">
        <v>4426.58</v>
      </c>
    </row>
    <row r="1933" spans="1:6" ht="15" thickBot="1" x14ac:dyDescent="0.35">
      <c r="A1933" s="3" t="s">
        <v>84</v>
      </c>
      <c r="B1933" s="2" t="s">
        <v>30</v>
      </c>
      <c r="C1933" s="2" t="s">
        <v>34</v>
      </c>
      <c r="D1933" s="2" t="s">
        <v>14</v>
      </c>
      <c r="E1933" s="2" t="s">
        <v>15</v>
      </c>
      <c r="F1933" s="4">
        <v>2921.55</v>
      </c>
    </row>
    <row r="1934" spans="1:6" ht="15" thickBot="1" x14ac:dyDescent="0.35">
      <c r="A1934" s="3" t="s">
        <v>176</v>
      </c>
      <c r="B1934" s="2" t="s">
        <v>19</v>
      </c>
      <c r="C1934" s="2" t="s">
        <v>34</v>
      </c>
      <c r="D1934" s="2" t="s">
        <v>14</v>
      </c>
      <c r="E1934" s="2" t="s">
        <v>24</v>
      </c>
      <c r="F1934" s="4">
        <v>1534.55</v>
      </c>
    </row>
    <row r="1935" spans="1:6" ht="15" thickBot="1" x14ac:dyDescent="0.35">
      <c r="A1935" s="3" t="s">
        <v>11</v>
      </c>
      <c r="B1935" s="2" t="s">
        <v>12</v>
      </c>
      <c r="C1935" s="2" t="s">
        <v>13</v>
      </c>
      <c r="D1935" s="2" t="s">
        <v>9</v>
      </c>
      <c r="E1935" s="2" t="s">
        <v>15</v>
      </c>
      <c r="F1935" s="4">
        <v>3062.3459630000002</v>
      </c>
    </row>
    <row r="1936" spans="1:6" ht="15" thickBot="1" x14ac:dyDescent="0.35">
      <c r="A1936" s="3" t="s">
        <v>185</v>
      </c>
      <c r="B1936" s="2" t="s">
        <v>30</v>
      </c>
      <c r="C1936" s="2" t="s">
        <v>8</v>
      </c>
      <c r="D1936" s="2" t="s">
        <v>9</v>
      </c>
      <c r="E1936" s="2" t="s">
        <v>15</v>
      </c>
      <c r="F1936" s="4">
        <v>1828.37</v>
      </c>
    </row>
    <row r="1937" spans="1:6" ht="15" thickBot="1" x14ac:dyDescent="0.35">
      <c r="A1937" s="3" t="s">
        <v>181</v>
      </c>
      <c r="B1937" s="2" t="s">
        <v>30</v>
      </c>
      <c r="C1937" s="2" t="s">
        <v>8</v>
      </c>
      <c r="D1937" s="2" t="s">
        <v>9</v>
      </c>
      <c r="E1937" s="2" t="s">
        <v>15</v>
      </c>
      <c r="F1937" s="4">
        <v>2945.0437750000001</v>
      </c>
    </row>
    <row r="1938" spans="1:6" ht="15" thickBot="1" x14ac:dyDescent="0.35">
      <c r="A1938" s="3" t="s">
        <v>29</v>
      </c>
      <c r="B1938" s="2" t="s">
        <v>30</v>
      </c>
      <c r="C1938" s="2" t="s">
        <v>34</v>
      </c>
      <c r="D1938" s="2" t="s">
        <v>28</v>
      </c>
      <c r="E1938" s="2" t="s">
        <v>10</v>
      </c>
      <c r="F1938" s="4">
        <v>2905.61</v>
      </c>
    </row>
    <row r="1939" spans="1:6" ht="15" thickBot="1" x14ac:dyDescent="0.35">
      <c r="A1939" s="3" t="s">
        <v>199</v>
      </c>
      <c r="B1939" s="2" t="s">
        <v>17</v>
      </c>
      <c r="C1939" s="2" t="s">
        <v>23</v>
      </c>
      <c r="D1939" s="2" t="s">
        <v>28</v>
      </c>
      <c r="E1939" s="2" t="s">
        <v>24</v>
      </c>
      <c r="F1939" s="4">
        <v>3354.34</v>
      </c>
    </row>
    <row r="1940" spans="1:6" ht="15" thickBot="1" x14ac:dyDescent="0.35">
      <c r="A1940" s="3" t="s">
        <v>168</v>
      </c>
      <c r="B1940" s="2" t="s">
        <v>17</v>
      </c>
      <c r="C1940" s="2" t="s">
        <v>23</v>
      </c>
      <c r="D1940" s="2" t="s">
        <v>14</v>
      </c>
      <c r="E1940" s="2" t="s">
        <v>10</v>
      </c>
      <c r="F1940" s="4">
        <v>4622.8599999999997</v>
      </c>
    </row>
    <row r="1941" spans="1:6" ht="15" thickBot="1" x14ac:dyDescent="0.35">
      <c r="A1941" s="3" t="s">
        <v>97</v>
      </c>
      <c r="B1941" s="2" t="s">
        <v>7</v>
      </c>
      <c r="C1941" s="2" t="s">
        <v>13</v>
      </c>
      <c r="D1941" s="2" t="s">
        <v>9</v>
      </c>
      <c r="E1941" s="2" t="s">
        <v>24</v>
      </c>
      <c r="F1941" s="4">
        <v>4374</v>
      </c>
    </row>
    <row r="1942" spans="1:6" ht="15" thickBot="1" x14ac:dyDescent="0.35">
      <c r="A1942" s="3" t="s">
        <v>95</v>
      </c>
      <c r="B1942" s="2" t="s">
        <v>30</v>
      </c>
      <c r="C1942" s="2" t="s">
        <v>34</v>
      </c>
      <c r="D1942" s="2" t="s">
        <v>28</v>
      </c>
      <c r="E1942" s="2" t="s">
        <v>10</v>
      </c>
      <c r="F1942" s="4">
        <v>1375.43</v>
      </c>
    </row>
    <row r="1943" spans="1:6" ht="15" thickBot="1" x14ac:dyDescent="0.35">
      <c r="A1943" s="3" t="s">
        <v>129</v>
      </c>
      <c r="B1943" s="2" t="s">
        <v>17</v>
      </c>
      <c r="C1943" s="2" t="s">
        <v>8</v>
      </c>
      <c r="D1943" s="2" t="s">
        <v>9</v>
      </c>
      <c r="E1943" s="2" t="s">
        <v>24</v>
      </c>
      <c r="F1943" s="4">
        <v>4136.8180979999997</v>
      </c>
    </row>
    <row r="1944" spans="1:6" ht="15" thickBot="1" x14ac:dyDescent="0.35">
      <c r="A1944" s="3" t="s">
        <v>100</v>
      </c>
      <c r="B1944" s="2" t="s">
        <v>7</v>
      </c>
      <c r="C1944" s="2" t="s">
        <v>13</v>
      </c>
      <c r="D1944" s="2" t="s">
        <v>9</v>
      </c>
      <c r="E1944" s="2" t="s">
        <v>10</v>
      </c>
      <c r="F1944" s="4">
        <v>2988.4606469999999</v>
      </c>
    </row>
    <row r="1945" spans="1:6" ht="15" thickBot="1" x14ac:dyDescent="0.35">
      <c r="A1945" s="3" t="s">
        <v>119</v>
      </c>
      <c r="B1945" s="2" t="s">
        <v>30</v>
      </c>
      <c r="C1945" s="2" t="s">
        <v>23</v>
      </c>
      <c r="D1945" s="2" t="s">
        <v>9</v>
      </c>
      <c r="E1945" s="2" t="s">
        <v>15</v>
      </c>
      <c r="F1945" s="4">
        <v>724.73842969999998</v>
      </c>
    </row>
    <row r="1946" spans="1:6" ht="15" thickBot="1" x14ac:dyDescent="0.35">
      <c r="A1946" s="3" t="s">
        <v>86</v>
      </c>
      <c r="B1946" s="2" t="s">
        <v>19</v>
      </c>
      <c r="C1946" s="2" t="s">
        <v>8</v>
      </c>
      <c r="D1946" s="2" t="s">
        <v>28</v>
      </c>
      <c r="E1946" s="2" t="s">
        <v>15</v>
      </c>
      <c r="F1946" s="4">
        <v>4727.37</v>
      </c>
    </row>
    <row r="1947" spans="1:6" ht="15" thickBot="1" x14ac:dyDescent="0.35">
      <c r="A1947" s="3" t="s">
        <v>202</v>
      </c>
      <c r="B1947" s="2" t="s">
        <v>12</v>
      </c>
      <c r="C1947" s="2" t="s">
        <v>13</v>
      </c>
      <c r="D1947" s="2" t="s">
        <v>28</v>
      </c>
      <c r="E1947" s="2" t="s">
        <v>24</v>
      </c>
      <c r="F1947" s="4">
        <v>78.44</v>
      </c>
    </row>
    <row r="1948" spans="1:6" ht="15" thickBot="1" x14ac:dyDescent="0.35">
      <c r="A1948" s="3" t="s">
        <v>213</v>
      </c>
      <c r="B1948" s="2" t="s">
        <v>12</v>
      </c>
      <c r="C1948" s="2" t="s">
        <v>8</v>
      </c>
      <c r="D1948" s="2" t="s">
        <v>14</v>
      </c>
      <c r="E1948" s="2" t="s">
        <v>24</v>
      </c>
      <c r="F1948" s="4">
        <v>4289.21</v>
      </c>
    </row>
    <row r="1949" spans="1:6" ht="15" thickBot="1" x14ac:dyDescent="0.35">
      <c r="A1949" s="3" t="s">
        <v>220</v>
      </c>
      <c r="B1949" s="2" t="s">
        <v>12</v>
      </c>
      <c r="C1949" s="2" t="s">
        <v>34</v>
      </c>
      <c r="D1949" s="2" t="s">
        <v>14</v>
      </c>
      <c r="E1949" s="2" t="s">
        <v>15</v>
      </c>
      <c r="F1949" s="4">
        <v>1666.98</v>
      </c>
    </row>
    <row r="1950" spans="1:6" ht="15" thickBot="1" x14ac:dyDescent="0.35">
      <c r="A1950" s="3" t="s">
        <v>35</v>
      </c>
      <c r="B1950" s="2" t="s">
        <v>19</v>
      </c>
      <c r="C1950" s="2" t="s">
        <v>13</v>
      </c>
      <c r="D1950" s="2" t="s">
        <v>14</v>
      </c>
      <c r="E1950" s="2" t="s">
        <v>15</v>
      </c>
      <c r="F1950" s="4">
        <v>1277.3399999999999</v>
      </c>
    </row>
    <row r="1951" spans="1:6" ht="15" thickBot="1" x14ac:dyDescent="0.35">
      <c r="A1951" s="3" t="s">
        <v>118</v>
      </c>
      <c r="B1951" s="2" t="s">
        <v>30</v>
      </c>
      <c r="C1951" s="2" t="s">
        <v>13</v>
      </c>
      <c r="D1951" s="2" t="s">
        <v>28</v>
      </c>
      <c r="E1951" s="2" t="s">
        <v>24</v>
      </c>
      <c r="F1951" s="4">
        <v>371.36</v>
      </c>
    </row>
    <row r="1952" spans="1:6" ht="15" thickBot="1" x14ac:dyDescent="0.35">
      <c r="A1952" s="3" t="s">
        <v>143</v>
      </c>
      <c r="B1952" s="2" t="s">
        <v>17</v>
      </c>
      <c r="C1952" s="2" t="s">
        <v>13</v>
      </c>
      <c r="D1952" s="2" t="s">
        <v>9</v>
      </c>
      <c r="E1952" s="2" t="s">
        <v>15</v>
      </c>
      <c r="F1952" s="4">
        <v>4247.1697489999997</v>
      </c>
    </row>
    <row r="1953" spans="1:6" ht="15" thickBot="1" x14ac:dyDescent="0.35">
      <c r="A1953" s="3" t="s">
        <v>125</v>
      </c>
      <c r="B1953" s="2" t="s">
        <v>7</v>
      </c>
      <c r="C1953" s="2" t="s">
        <v>13</v>
      </c>
      <c r="D1953" s="2" t="s">
        <v>14</v>
      </c>
      <c r="E1953" s="2" t="s">
        <v>15</v>
      </c>
      <c r="F1953" s="4">
        <v>3150.39</v>
      </c>
    </row>
    <row r="1954" spans="1:6" ht="15" thickBot="1" x14ac:dyDescent="0.35">
      <c r="A1954" s="3" t="s">
        <v>127</v>
      </c>
      <c r="B1954" s="2" t="s">
        <v>17</v>
      </c>
      <c r="C1954" s="2" t="s">
        <v>13</v>
      </c>
      <c r="D1954" s="2" t="s">
        <v>9</v>
      </c>
      <c r="E1954" s="2" t="s">
        <v>15</v>
      </c>
      <c r="F1954" s="4">
        <v>3071.4404570000002</v>
      </c>
    </row>
    <row r="1955" spans="1:6" ht="15" thickBot="1" x14ac:dyDescent="0.35">
      <c r="A1955" s="3" t="s">
        <v>58</v>
      </c>
      <c r="B1955" s="2" t="s">
        <v>17</v>
      </c>
      <c r="C1955" s="2" t="s">
        <v>13</v>
      </c>
      <c r="D1955" s="2" t="s">
        <v>14</v>
      </c>
      <c r="E1955" s="2" t="s">
        <v>15</v>
      </c>
      <c r="F1955" s="4">
        <v>341.64</v>
      </c>
    </row>
    <row r="1956" spans="1:6" ht="15" thickBot="1" x14ac:dyDescent="0.35">
      <c r="A1956" s="3" t="s">
        <v>69</v>
      </c>
      <c r="B1956" s="2" t="s">
        <v>7</v>
      </c>
      <c r="C1956" s="2" t="s">
        <v>13</v>
      </c>
      <c r="D1956" s="2" t="s">
        <v>28</v>
      </c>
      <c r="E1956" s="2" t="s">
        <v>24</v>
      </c>
      <c r="F1956" s="4">
        <v>4075.39</v>
      </c>
    </row>
    <row r="1957" spans="1:6" ht="15" thickBot="1" x14ac:dyDescent="0.35">
      <c r="A1957" s="3" t="s">
        <v>142</v>
      </c>
      <c r="B1957" s="2" t="s">
        <v>17</v>
      </c>
      <c r="C1957" s="2" t="s">
        <v>8</v>
      </c>
      <c r="D1957" s="2" t="s">
        <v>28</v>
      </c>
      <c r="E1957" s="2" t="s">
        <v>24</v>
      </c>
      <c r="F1957" s="4">
        <v>4062.72</v>
      </c>
    </row>
    <row r="1958" spans="1:6" ht="15" thickBot="1" x14ac:dyDescent="0.35">
      <c r="A1958" s="3" t="s">
        <v>64</v>
      </c>
      <c r="B1958" s="2" t="s">
        <v>30</v>
      </c>
      <c r="C1958" s="2" t="s">
        <v>13</v>
      </c>
      <c r="D1958" s="2" t="s">
        <v>28</v>
      </c>
      <c r="E1958" s="2" t="s">
        <v>15</v>
      </c>
      <c r="F1958" s="4">
        <v>3930.54</v>
      </c>
    </row>
    <row r="1959" spans="1:6" ht="15" thickBot="1" x14ac:dyDescent="0.35">
      <c r="A1959" s="3" t="s">
        <v>201</v>
      </c>
      <c r="B1959" s="2" t="s">
        <v>12</v>
      </c>
      <c r="C1959" s="2" t="s">
        <v>23</v>
      </c>
      <c r="D1959" s="2" t="s">
        <v>14</v>
      </c>
      <c r="E1959" s="2" t="s">
        <v>10</v>
      </c>
      <c r="F1959" s="4">
        <v>1919.26</v>
      </c>
    </row>
    <row r="1960" spans="1:6" ht="15" thickBot="1" x14ac:dyDescent="0.35">
      <c r="A1960" s="3" t="s">
        <v>210</v>
      </c>
      <c r="B1960" s="2" t="s">
        <v>7</v>
      </c>
      <c r="C1960" s="2" t="s">
        <v>13</v>
      </c>
      <c r="D1960" s="2" t="s">
        <v>14</v>
      </c>
      <c r="E1960" s="2" t="s">
        <v>10</v>
      </c>
      <c r="F1960" s="4">
        <v>3554.23</v>
      </c>
    </row>
    <row r="1961" spans="1:6" ht="15" thickBot="1" x14ac:dyDescent="0.35">
      <c r="A1961" s="3" t="s">
        <v>169</v>
      </c>
      <c r="B1961" s="2" t="s">
        <v>12</v>
      </c>
      <c r="C1961" s="2" t="s">
        <v>13</v>
      </c>
      <c r="D1961" s="2" t="s">
        <v>9</v>
      </c>
      <c r="E1961" s="2" t="s">
        <v>24</v>
      </c>
      <c r="F1961" s="4">
        <v>493.58</v>
      </c>
    </row>
    <row r="1962" spans="1:6" ht="15" thickBot="1" x14ac:dyDescent="0.35">
      <c r="A1962" s="3" t="s">
        <v>87</v>
      </c>
      <c r="B1962" s="2" t="s">
        <v>12</v>
      </c>
      <c r="C1962" s="2" t="s">
        <v>23</v>
      </c>
      <c r="D1962" s="2" t="s">
        <v>9</v>
      </c>
      <c r="E1962" s="2" t="s">
        <v>10</v>
      </c>
      <c r="F1962" s="4">
        <v>2362.1602800000001</v>
      </c>
    </row>
    <row r="1963" spans="1:6" ht="15" thickBot="1" x14ac:dyDescent="0.35">
      <c r="A1963" s="3" t="s">
        <v>203</v>
      </c>
      <c r="B1963" s="2" t="s">
        <v>12</v>
      </c>
      <c r="C1963" s="2" t="s">
        <v>13</v>
      </c>
      <c r="D1963" s="2" t="s">
        <v>14</v>
      </c>
      <c r="E1963" s="2" t="s">
        <v>15</v>
      </c>
      <c r="F1963" s="4">
        <v>984.26</v>
      </c>
    </row>
    <row r="1964" spans="1:6" ht="15" thickBot="1" x14ac:dyDescent="0.35">
      <c r="A1964" s="3" t="s">
        <v>163</v>
      </c>
      <c r="B1964" s="2" t="s">
        <v>19</v>
      </c>
      <c r="C1964" s="2" t="s">
        <v>23</v>
      </c>
      <c r="D1964" s="2" t="s">
        <v>28</v>
      </c>
      <c r="E1964" s="2" t="s">
        <v>24</v>
      </c>
      <c r="F1964" s="4">
        <v>2223.0500000000002</v>
      </c>
    </row>
    <row r="1965" spans="1:6" ht="15" thickBot="1" x14ac:dyDescent="0.35">
      <c r="A1965" s="3" t="s">
        <v>54</v>
      </c>
      <c r="B1965" s="2" t="s">
        <v>12</v>
      </c>
      <c r="C1965" s="2" t="s">
        <v>34</v>
      </c>
      <c r="D1965" s="2" t="s">
        <v>9</v>
      </c>
      <c r="E1965" s="2" t="s">
        <v>24</v>
      </c>
      <c r="F1965" s="4">
        <v>2498.8473060000001</v>
      </c>
    </row>
    <row r="1966" spans="1:6" ht="15" thickBot="1" x14ac:dyDescent="0.35">
      <c r="A1966" s="3" t="s">
        <v>21</v>
      </c>
      <c r="B1966" s="2" t="s">
        <v>19</v>
      </c>
      <c r="C1966" s="2" t="s">
        <v>8</v>
      </c>
      <c r="D1966" s="2" t="s">
        <v>9</v>
      </c>
      <c r="E1966" s="2" t="s">
        <v>10</v>
      </c>
      <c r="F1966" s="4">
        <v>857.66462850000005</v>
      </c>
    </row>
    <row r="1967" spans="1:6" ht="15" thickBot="1" x14ac:dyDescent="0.35">
      <c r="A1967" s="3" t="s">
        <v>53</v>
      </c>
      <c r="B1967" s="2" t="s">
        <v>7</v>
      </c>
      <c r="C1967" s="2" t="s">
        <v>8</v>
      </c>
      <c r="D1967" s="2" t="s">
        <v>14</v>
      </c>
      <c r="E1967" s="2" t="s">
        <v>15</v>
      </c>
      <c r="F1967" s="4">
        <v>2079.4</v>
      </c>
    </row>
    <row r="1968" spans="1:6" ht="15" thickBot="1" x14ac:dyDescent="0.35">
      <c r="A1968" s="3" t="s">
        <v>36</v>
      </c>
      <c r="B1968" s="2" t="s">
        <v>12</v>
      </c>
      <c r="C1968" s="2" t="s">
        <v>13</v>
      </c>
      <c r="D1968" s="2" t="s">
        <v>28</v>
      </c>
      <c r="E1968" s="2" t="s">
        <v>15</v>
      </c>
      <c r="F1968" s="4">
        <v>2644.71</v>
      </c>
    </row>
    <row r="1969" spans="1:6" ht="15" thickBot="1" x14ac:dyDescent="0.35">
      <c r="A1969" s="3" t="s">
        <v>110</v>
      </c>
      <c r="B1969" s="2" t="s">
        <v>12</v>
      </c>
      <c r="C1969" s="2" t="s">
        <v>8</v>
      </c>
      <c r="D1969" s="2" t="s">
        <v>14</v>
      </c>
      <c r="E1969" s="2" t="s">
        <v>15</v>
      </c>
      <c r="F1969" s="4">
        <v>813.42</v>
      </c>
    </row>
    <row r="1970" spans="1:6" ht="15" thickBot="1" x14ac:dyDescent="0.35">
      <c r="A1970" s="3" t="s">
        <v>77</v>
      </c>
      <c r="B1970" s="2" t="s">
        <v>30</v>
      </c>
      <c r="C1970" s="2" t="s">
        <v>23</v>
      </c>
      <c r="D1970" s="2" t="s">
        <v>9</v>
      </c>
      <c r="E1970" s="2" t="s">
        <v>15</v>
      </c>
      <c r="F1970" s="4">
        <v>1500.741311</v>
      </c>
    </row>
    <row r="1971" spans="1:6" ht="15" thickBot="1" x14ac:dyDescent="0.35">
      <c r="A1971" s="3" t="s">
        <v>117</v>
      </c>
      <c r="B1971" s="2" t="s">
        <v>7</v>
      </c>
      <c r="C1971" s="2" t="s">
        <v>34</v>
      </c>
      <c r="D1971" s="2" t="s">
        <v>14</v>
      </c>
      <c r="E1971" s="2" t="s">
        <v>24</v>
      </c>
      <c r="F1971" s="4">
        <v>2099.7800000000002</v>
      </c>
    </row>
    <row r="1972" spans="1:6" ht="15" thickBot="1" x14ac:dyDescent="0.35">
      <c r="A1972" s="3" t="s">
        <v>125</v>
      </c>
      <c r="B1972" s="2" t="s">
        <v>7</v>
      </c>
      <c r="C1972" s="2" t="s">
        <v>13</v>
      </c>
      <c r="D1972" s="2" t="s">
        <v>9</v>
      </c>
      <c r="E1972" s="2" t="s">
        <v>10</v>
      </c>
      <c r="F1972" s="4">
        <v>3573.184213</v>
      </c>
    </row>
    <row r="1973" spans="1:6" ht="15" thickBot="1" x14ac:dyDescent="0.35">
      <c r="A1973" s="3" t="s">
        <v>136</v>
      </c>
      <c r="B1973" s="2" t="s">
        <v>17</v>
      </c>
      <c r="C1973" s="2" t="s">
        <v>23</v>
      </c>
      <c r="D1973" s="2" t="s">
        <v>9</v>
      </c>
      <c r="E1973" s="2" t="s">
        <v>15</v>
      </c>
      <c r="F1973" s="4">
        <v>3666.976435</v>
      </c>
    </row>
    <row r="1974" spans="1:6" ht="15" thickBot="1" x14ac:dyDescent="0.35">
      <c r="A1974" s="3" t="s">
        <v>40</v>
      </c>
      <c r="B1974" s="2" t="s">
        <v>19</v>
      </c>
      <c r="C1974" s="2" t="s">
        <v>13</v>
      </c>
      <c r="D1974" s="2" t="s">
        <v>28</v>
      </c>
      <c r="E1974" s="2" t="s">
        <v>15</v>
      </c>
      <c r="F1974" s="4">
        <v>4772.12</v>
      </c>
    </row>
    <row r="1975" spans="1:6" ht="15" thickBot="1" x14ac:dyDescent="0.35">
      <c r="A1975" s="3" t="s">
        <v>98</v>
      </c>
      <c r="B1975" s="2" t="s">
        <v>19</v>
      </c>
      <c r="C1975" s="2" t="s">
        <v>23</v>
      </c>
      <c r="D1975" s="2" t="s">
        <v>9</v>
      </c>
      <c r="E1975" s="2" t="s">
        <v>24</v>
      </c>
      <c r="F1975" s="4">
        <v>4691.37</v>
      </c>
    </row>
    <row r="1976" spans="1:6" ht="15" thickBot="1" x14ac:dyDescent="0.35">
      <c r="A1976" s="3" t="s">
        <v>160</v>
      </c>
      <c r="B1976" s="2" t="s">
        <v>30</v>
      </c>
      <c r="C1976" s="2" t="s">
        <v>23</v>
      </c>
      <c r="D1976" s="2" t="s">
        <v>14</v>
      </c>
      <c r="E1976" s="2" t="s">
        <v>15</v>
      </c>
      <c r="F1976" s="4">
        <v>2731.04</v>
      </c>
    </row>
    <row r="1977" spans="1:6" ht="15" thickBot="1" x14ac:dyDescent="0.35">
      <c r="A1977" s="3" t="s">
        <v>42</v>
      </c>
      <c r="B1977" s="2" t="s">
        <v>30</v>
      </c>
      <c r="C1977" s="2" t="s">
        <v>8</v>
      </c>
      <c r="D1977" s="2" t="s">
        <v>14</v>
      </c>
      <c r="E1977" s="2" t="s">
        <v>24</v>
      </c>
      <c r="F1977" s="4">
        <v>3020.79</v>
      </c>
    </row>
    <row r="1978" spans="1:6" ht="15" thickBot="1" x14ac:dyDescent="0.35">
      <c r="A1978" s="3" t="s">
        <v>112</v>
      </c>
      <c r="B1978" s="2" t="s">
        <v>30</v>
      </c>
      <c r="C1978" s="2" t="s">
        <v>34</v>
      </c>
      <c r="D1978" s="2" t="s">
        <v>28</v>
      </c>
      <c r="E1978" s="2" t="s">
        <v>24</v>
      </c>
      <c r="F1978" s="4">
        <v>1086.79</v>
      </c>
    </row>
    <row r="1979" spans="1:6" ht="15" thickBot="1" x14ac:dyDescent="0.35">
      <c r="A1979" s="3" t="s">
        <v>130</v>
      </c>
      <c r="B1979" s="2" t="s">
        <v>12</v>
      </c>
      <c r="C1979" s="2" t="s">
        <v>23</v>
      </c>
      <c r="D1979" s="2" t="s">
        <v>9</v>
      </c>
      <c r="E1979" s="2" t="s">
        <v>24</v>
      </c>
      <c r="F1979" s="4">
        <v>5115.1311139999998</v>
      </c>
    </row>
    <row r="1980" spans="1:6" ht="15" thickBot="1" x14ac:dyDescent="0.35">
      <c r="A1980" s="3" t="s">
        <v>116</v>
      </c>
      <c r="B1980" s="2" t="s">
        <v>17</v>
      </c>
      <c r="C1980" s="2" t="s">
        <v>23</v>
      </c>
      <c r="D1980" s="2" t="s">
        <v>14</v>
      </c>
      <c r="E1980" s="2" t="s">
        <v>10</v>
      </c>
      <c r="F1980" s="4">
        <v>2958.7</v>
      </c>
    </row>
    <row r="1981" spans="1:6" ht="15" thickBot="1" x14ac:dyDescent="0.35">
      <c r="A1981" s="3" t="s">
        <v>93</v>
      </c>
      <c r="B1981" s="2" t="s">
        <v>30</v>
      </c>
      <c r="C1981" s="2" t="s">
        <v>23</v>
      </c>
      <c r="D1981" s="2" t="s">
        <v>9</v>
      </c>
      <c r="E1981" s="2" t="s">
        <v>10</v>
      </c>
      <c r="F1981" s="4">
        <v>1571.969407</v>
      </c>
    </row>
    <row r="1982" spans="1:6" ht="15" thickBot="1" x14ac:dyDescent="0.35">
      <c r="A1982" s="3" t="s">
        <v>141</v>
      </c>
      <c r="B1982" s="2" t="s">
        <v>7</v>
      </c>
      <c r="C1982" s="2" t="s">
        <v>13</v>
      </c>
      <c r="D1982" s="2" t="s">
        <v>28</v>
      </c>
      <c r="E1982" s="2" t="s">
        <v>15</v>
      </c>
      <c r="F1982" s="4">
        <v>2745.85</v>
      </c>
    </row>
    <row r="1983" spans="1:6" ht="15" thickBot="1" x14ac:dyDescent="0.35">
      <c r="A1983" s="3" t="s">
        <v>156</v>
      </c>
      <c r="B1983" s="2" t="s">
        <v>17</v>
      </c>
      <c r="C1983" s="2" t="s">
        <v>23</v>
      </c>
      <c r="D1983" s="2" t="s">
        <v>28</v>
      </c>
      <c r="E1983" s="2" t="s">
        <v>24</v>
      </c>
      <c r="F1983" s="4">
        <v>1531</v>
      </c>
    </row>
    <row r="1984" spans="1:6" ht="15" thickBot="1" x14ac:dyDescent="0.35">
      <c r="A1984" s="3" t="s">
        <v>207</v>
      </c>
      <c r="B1984" s="2" t="s">
        <v>17</v>
      </c>
      <c r="C1984" s="2" t="s">
        <v>8</v>
      </c>
      <c r="D1984" s="2" t="s">
        <v>9</v>
      </c>
      <c r="E1984" s="2" t="s">
        <v>10</v>
      </c>
      <c r="F1984" s="4">
        <v>4709.8048410000001</v>
      </c>
    </row>
    <row r="1985" spans="1:6" ht="15" thickBot="1" x14ac:dyDescent="0.35">
      <c r="A1985" s="3" t="s">
        <v>171</v>
      </c>
      <c r="B1985" s="2" t="s">
        <v>17</v>
      </c>
      <c r="C1985" s="2" t="s">
        <v>34</v>
      </c>
      <c r="D1985" s="2" t="s">
        <v>28</v>
      </c>
      <c r="E1985" s="2" t="s">
        <v>24</v>
      </c>
      <c r="F1985" s="4">
        <v>830.08</v>
      </c>
    </row>
    <row r="1986" spans="1:6" ht="15" thickBot="1" x14ac:dyDescent="0.35">
      <c r="A1986" s="3" t="s">
        <v>203</v>
      </c>
      <c r="B1986" s="2" t="s">
        <v>12</v>
      </c>
      <c r="C1986" s="2" t="s">
        <v>8</v>
      </c>
      <c r="D1986" s="2" t="s">
        <v>28</v>
      </c>
      <c r="E1986" s="2" t="s">
        <v>15</v>
      </c>
      <c r="F1986" s="4">
        <v>4453.8999999999996</v>
      </c>
    </row>
    <row r="1987" spans="1:6" ht="15" thickBot="1" x14ac:dyDescent="0.35">
      <c r="A1987" s="3" t="s">
        <v>70</v>
      </c>
      <c r="B1987" s="2" t="s">
        <v>19</v>
      </c>
      <c r="C1987" s="2" t="s">
        <v>13</v>
      </c>
      <c r="D1987" s="2" t="s">
        <v>28</v>
      </c>
      <c r="E1987" s="2" t="s">
        <v>24</v>
      </c>
      <c r="F1987" s="4">
        <v>4791.93</v>
      </c>
    </row>
    <row r="1988" spans="1:6" ht="15" thickBot="1" x14ac:dyDescent="0.35">
      <c r="A1988" s="3" t="s">
        <v>137</v>
      </c>
      <c r="B1988" s="2" t="s">
        <v>17</v>
      </c>
      <c r="C1988" s="2" t="s">
        <v>13</v>
      </c>
      <c r="D1988" s="2" t="s">
        <v>9</v>
      </c>
      <c r="E1988" s="2" t="s">
        <v>10</v>
      </c>
      <c r="F1988" s="4">
        <v>2280.109602</v>
      </c>
    </row>
    <row r="1989" spans="1:6" ht="15" thickBot="1" x14ac:dyDescent="0.35">
      <c r="A1989" s="3" t="s">
        <v>101</v>
      </c>
      <c r="B1989" s="2" t="s">
        <v>19</v>
      </c>
      <c r="C1989" s="2" t="s">
        <v>34</v>
      </c>
      <c r="D1989" s="2" t="s">
        <v>9</v>
      </c>
      <c r="E1989" s="2" t="s">
        <v>24</v>
      </c>
      <c r="F1989" s="4">
        <v>4839.8084959999996</v>
      </c>
    </row>
    <row r="1990" spans="1:6" ht="15" thickBot="1" x14ac:dyDescent="0.35">
      <c r="A1990" s="3" t="s">
        <v>84</v>
      </c>
      <c r="B1990" s="2" t="s">
        <v>30</v>
      </c>
      <c r="C1990" s="2" t="s">
        <v>13</v>
      </c>
      <c r="D1990" s="2" t="s">
        <v>14</v>
      </c>
      <c r="E1990" s="2" t="s">
        <v>24</v>
      </c>
      <c r="F1990" s="4">
        <v>506.81</v>
      </c>
    </row>
    <row r="1991" spans="1:6" ht="15" thickBot="1" x14ac:dyDescent="0.35">
      <c r="A1991" s="3" t="s">
        <v>35</v>
      </c>
      <c r="B1991" s="2" t="s">
        <v>19</v>
      </c>
      <c r="C1991" s="2" t="s">
        <v>13</v>
      </c>
      <c r="D1991" s="2" t="s">
        <v>9</v>
      </c>
      <c r="E1991" s="2" t="s">
        <v>15</v>
      </c>
      <c r="F1991" s="4">
        <v>3907.2413280000001</v>
      </c>
    </row>
    <row r="1992" spans="1:6" ht="15" thickBot="1" x14ac:dyDescent="0.35">
      <c r="A1992" s="3" t="s">
        <v>216</v>
      </c>
      <c r="B1992" s="2" t="s">
        <v>17</v>
      </c>
      <c r="C1992" s="2" t="s">
        <v>13</v>
      </c>
      <c r="D1992" s="2" t="s">
        <v>9</v>
      </c>
      <c r="E1992" s="2" t="s">
        <v>15</v>
      </c>
      <c r="F1992" s="4">
        <v>2483.820612</v>
      </c>
    </row>
    <row r="1993" spans="1:6" ht="15" thickBot="1" x14ac:dyDescent="0.35">
      <c r="A1993" s="3" t="s">
        <v>133</v>
      </c>
      <c r="B1993" s="2" t="s">
        <v>17</v>
      </c>
      <c r="C1993" s="2" t="s">
        <v>23</v>
      </c>
      <c r="D1993" s="2" t="s">
        <v>28</v>
      </c>
      <c r="E1993" s="2" t="s">
        <v>10</v>
      </c>
      <c r="F1993" s="4">
        <v>139.57</v>
      </c>
    </row>
    <row r="1994" spans="1:6" ht="15" thickBot="1" x14ac:dyDescent="0.35">
      <c r="A1994" s="3" t="s">
        <v>184</v>
      </c>
      <c r="B1994" s="2" t="s">
        <v>30</v>
      </c>
      <c r="C1994" s="2" t="s">
        <v>13</v>
      </c>
      <c r="D1994" s="2" t="s">
        <v>9</v>
      </c>
      <c r="E1994" s="2" t="s">
        <v>15</v>
      </c>
      <c r="F1994" s="4">
        <v>2912.6626670000001</v>
      </c>
    </row>
    <row r="1995" spans="1:6" ht="15" thickBot="1" x14ac:dyDescent="0.35">
      <c r="A1995" s="3" t="s">
        <v>106</v>
      </c>
      <c r="B1995" s="2" t="s">
        <v>12</v>
      </c>
      <c r="C1995" s="2" t="s">
        <v>34</v>
      </c>
      <c r="D1995" s="2" t="s">
        <v>14</v>
      </c>
      <c r="E1995" s="2" t="s">
        <v>15</v>
      </c>
      <c r="F1995" s="4">
        <v>479.83</v>
      </c>
    </row>
    <row r="1996" spans="1:6" ht="15" thickBot="1" x14ac:dyDescent="0.35">
      <c r="A1996" s="3" t="s">
        <v>118</v>
      </c>
      <c r="B1996" s="2" t="s">
        <v>30</v>
      </c>
      <c r="C1996" s="2" t="s">
        <v>34</v>
      </c>
      <c r="D1996" s="2" t="s">
        <v>9</v>
      </c>
      <c r="E1996" s="2" t="s">
        <v>15</v>
      </c>
      <c r="F1996" s="4">
        <v>5275.2422539999998</v>
      </c>
    </row>
    <row r="1997" spans="1:6" ht="15" thickBot="1" x14ac:dyDescent="0.35">
      <c r="A1997" s="3" t="s">
        <v>116</v>
      </c>
      <c r="B1997" s="2" t="s">
        <v>17</v>
      </c>
      <c r="C1997" s="2" t="s">
        <v>8</v>
      </c>
      <c r="D1997" s="2" t="s">
        <v>14</v>
      </c>
      <c r="E1997" s="2" t="s">
        <v>15</v>
      </c>
      <c r="F1997" s="4">
        <v>3515.66</v>
      </c>
    </row>
    <row r="1998" spans="1:6" ht="15" thickBot="1" x14ac:dyDescent="0.35">
      <c r="A1998" s="3" t="s">
        <v>110</v>
      </c>
      <c r="B1998" s="2" t="s">
        <v>12</v>
      </c>
      <c r="C1998" s="2" t="s">
        <v>34</v>
      </c>
      <c r="D1998" s="2" t="s">
        <v>9</v>
      </c>
      <c r="E1998" s="2" t="s">
        <v>15</v>
      </c>
      <c r="F1998" s="4">
        <v>771.45</v>
      </c>
    </row>
    <row r="1999" spans="1:6" ht="15" thickBot="1" x14ac:dyDescent="0.35">
      <c r="A1999" s="3" t="s">
        <v>172</v>
      </c>
      <c r="B1999" s="2" t="s">
        <v>7</v>
      </c>
      <c r="C1999" s="2" t="s">
        <v>34</v>
      </c>
      <c r="D1999" s="2" t="s">
        <v>28</v>
      </c>
      <c r="E1999" s="2" t="s">
        <v>15</v>
      </c>
      <c r="F1999" s="4">
        <v>705.84</v>
      </c>
    </row>
    <row r="2000" spans="1:6" ht="15" thickBot="1" x14ac:dyDescent="0.35">
      <c r="A2000" s="3" t="s">
        <v>126</v>
      </c>
      <c r="B2000" s="2" t="s">
        <v>30</v>
      </c>
      <c r="C2000" s="2" t="s">
        <v>23</v>
      </c>
      <c r="D2000" s="2" t="s">
        <v>9</v>
      </c>
      <c r="E2000" s="2" t="s">
        <v>10</v>
      </c>
      <c r="F2000" s="4">
        <v>3398.71</v>
      </c>
    </row>
    <row r="2001" spans="1:6" x14ac:dyDescent="0.3">
      <c r="A2001" s="5" t="s">
        <v>107</v>
      </c>
      <c r="B2001" s="6" t="s">
        <v>30</v>
      </c>
      <c r="C2001" s="6" t="s">
        <v>34</v>
      </c>
      <c r="D2001" s="6" t="s">
        <v>28</v>
      </c>
      <c r="E2001" s="6" t="s">
        <v>24</v>
      </c>
      <c r="F2001" s="7">
        <v>2433.04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0EC6-CC06-4ABF-9FF2-727ECCC94314}">
  <dimension ref="A1:E201"/>
  <sheetViews>
    <sheetView zoomScale="80" zoomScaleNormal="80" workbookViewId="0">
      <selection activeCell="C2" sqref="C2:C201"/>
    </sheetView>
  </sheetViews>
  <sheetFormatPr defaultRowHeight="14.4" x14ac:dyDescent="0.3"/>
  <cols>
    <col min="1" max="1" width="12.44140625" bestFit="1" customWidth="1"/>
    <col min="2" max="2" width="17.6640625" bestFit="1" customWidth="1"/>
    <col min="3" max="3" width="28" bestFit="1" customWidth="1"/>
    <col min="4" max="4" width="29.6640625" bestFit="1" customWidth="1"/>
    <col min="5" max="5" width="11.6640625" bestFit="1" customWidth="1"/>
  </cols>
  <sheetData>
    <row r="1" spans="1:5" ht="42.6" thickBot="1" x14ac:dyDescent="0.35">
      <c r="A1" s="8" t="s">
        <v>0</v>
      </c>
      <c r="B1" s="9" t="s">
        <v>1</v>
      </c>
      <c r="C1" s="9" t="s">
        <v>221</v>
      </c>
      <c r="D1" s="9" t="s">
        <v>222</v>
      </c>
      <c r="E1" s="10" t="s">
        <v>223</v>
      </c>
    </row>
    <row r="2" spans="1:5" ht="15" thickBot="1" x14ac:dyDescent="0.35">
      <c r="A2" s="3" t="s">
        <v>170</v>
      </c>
      <c r="B2" s="2" t="s">
        <v>12</v>
      </c>
      <c r="C2" s="2">
        <v>54133</v>
      </c>
      <c r="D2" s="2">
        <v>8543.68</v>
      </c>
      <c r="E2" s="4">
        <v>24</v>
      </c>
    </row>
    <row r="3" spans="1:5" ht="15" thickBot="1" x14ac:dyDescent="0.35">
      <c r="A3" s="3" t="s">
        <v>47</v>
      </c>
      <c r="B3" s="2" t="s">
        <v>30</v>
      </c>
      <c r="C3" s="2">
        <v>53661</v>
      </c>
      <c r="D3" s="2">
        <v>6965.81</v>
      </c>
      <c r="E3" s="4">
        <v>69.400000000000006</v>
      </c>
    </row>
    <row r="4" spans="1:5" ht="15" thickBot="1" x14ac:dyDescent="0.35">
      <c r="A4" s="3" t="s">
        <v>189</v>
      </c>
      <c r="B4" s="2" t="s">
        <v>19</v>
      </c>
      <c r="C4" s="2">
        <v>27681</v>
      </c>
      <c r="D4" s="2">
        <v>928.26</v>
      </c>
      <c r="E4" s="4">
        <v>44.97</v>
      </c>
    </row>
    <row r="5" spans="1:5" ht="15" thickBot="1" x14ac:dyDescent="0.35">
      <c r="A5" s="3" t="s">
        <v>175</v>
      </c>
      <c r="B5" s="2" t="s">
        <v>7</v>
      </c>
      <c r="C5" s="2">
        <v>83923</v>
      </c>
      <c r="D5" s="2">
        <v>8768.7999999999993</v>
      </c>
      <c r="E5" s="4">
        <v>65.290000000000006</v>
      </c>
    </row>
    <row r="6" spans="1:5" ht="15" thickBot="1" x14ac:dyDescent="0.35">
      <c r="A6" s="3" t="s">
        <v>41</v>
      </c>
      <c r="B6" s="2" t="s">
        <v>30</v>
      </c>
      <c r="C6" s="2">
        <v>61743</v>
      </c>
      <c r="D6" s="2">
        <v>7426.75</v>
      </c>
      <c r="E6" s="4">
        <v>26.39</v>
      </c>
    </row>
    <row r="7" spans="1:5" ht="15" thickBot="1" x14ac:dyDescent="0.35">
      <c r="A7" s="3" t="s">
        <v>144</v>
      </c>
      <c r="B7" s="2" t="s">
        <v>30</v>
      </c>
      <c r="C7" s="2">
        <v>11426</v>
      </c>
      <c r="D7" s="2">
        <v>4439.5600000000004</v>
      </c>
      <c r="E7" s="4">
        <v>52.71</v>
      </c>
    </row>
    <row r="8" spans="1:5" ht="15" thickBot="1" x14ac:dyDescent="0.35">
      <c r="A8" s="3" t="s">
        <v>126</v>
      </c>
      <c r="B8" s="2" t="s">
        <v>30</v>
      </c>
      <c r="C8" s="2">
        <v>35506</v>
      </c>
      <c r="D8" s="2">
        <v>1892.04</v>
      </c>
      <c r="E8" s="4">
        <v>61.53</v>
      </c>
    </row>
    <row r="9" spans="1:5" ht="15" thickBot="1" x14ac:dyDescent="0.35">
      <c r="A9" s="3" t="s">
        <v>49</v>
      </c>
      <c r="B9" s="2" t="s">
        <v>19</v>
      </c>
      <c r="C9" s="2">
        <v>50306</v>
      </c>
      <c r="D9" s="2">
        <v>7031.37</v>
      </c>
      <c r="E9" s="4">
        <v>13.27</v>
      </c>
    </row>
    <row r="10" spans="1:5" ht="15" thickBot="1" x14ac:dyDescent="0.35">
      <c r="A10" s="3" t="s">
        <v>141</v>
      </c>
      <c r="B10" s="2" t="s">
        <v>7</v>
      </c>
      <c r="C10" s="2">
        <v>45644</v>
      </c>
      <c r="D10" s="2">
        <v>7724.73</v>
      </c>
      <c r="E10" s="4">
        <v>31</v>
      </c>
    </row>
    <row r="11" spans="1:5" ht="15" thickBot="1" x14ac:dyDescent="0.35">
      <c r="A11" s="3" t="s">
        <v>165</v>
      </c>
      <c r="B11" s="2" t="s">
        <v>7</v>
      </c>
      <c r="C11" s="2">
        <v>32991</v>
      </c>
      <c r="D11" s="2">
        <v>8540.14</v>
      </c>
      <c r="E11" s="4">
        <v>37.75</v>
      </c>
    </row>
    <row r="12" spans="1:5" ht="15" thickBot="1" x14ac:dyDescent="0.35">
      <c r="A12" s="3" t="s">
        <v>180</v>
      </c>
      <c r="B12" s="2" t="s">
        <v>30</v>
      </c>
      <c r="C12" s="2">
        <v>72846</v>
      </c>
      <c r="D12" s="2">
        <v>5169.53</v>
      </c>
      <c r="E12" s="4">
        <v>76.709999999999994</v>
      </c>
    </row>
    <row r="13" spans="1:5" ht="15" thickBot="1" x14ac:dyDescent="0.35">
      <c r="A13" s="3" t="s">
        <v>56</v>
      </c>
      <c r="B13" s="2" t="s">
        <v>19</v>
      </c>
      <c r="C13" s="2">
        <v>43747</v>
      </c>
      <c r="D13" s="2">
        <v>3453.48</v>
      </c>
      <c r="E13" s="4">
        <v>98.78</v>
      </c>
    </row>
    <row r="14" spans="1:5" ht="15" thickBot="1" x14ac:dyDescent="0.35">
      <c r="A14" s="3" t="s">
        <v>215</v>
      </c>
      <c r="B14" s="2" t="s">
        <v>17</v>
      </c>
      <c r="C14" s="2">
        <v>72813</v>
      </c>
      <c r="D14" s="2">
        <v>8818.16</v>
      </c>
      <c r="E14" s="4">
        <v>54.12</v>
      </c>
    </row>
    <row r="15" spans="1:5" ht="15" thickBot="1" x14ac:dyDescent="0.35">
      <c r="A15" s="3" t="s">
        <v>127</v>
      </c>
      <c r="B15" s="2" t="s">
        <v>17</v>
      </c>
      <c r="C15" s="2">
        <v>17416</v>
      </c>
      <c r="D15" s="2">
        <v>812.06</v>
      </c>
      <c r="E15" s="4">
        <v>5.7</v>
      </c>
    </row>
    <row r="16" spans="1:5" ht="15" thickBot="1" x14ac:dyDescent="0.35">
      <c r="A16" s="3" t="s">
        <v>119</v>
      </c>
      <c r="B16" s="2" t="s">
        <v>30</v>
      </c>
      <c r="C16" s="2">
        <v>80488</v>
      </c>
      <c r="D16" s="2">
        <v>7629.95</v>
      </c>
      <c r="E16" s="4">
        <v>63.83</v>
      </c>
    </row>
    <row r="17" spans="1:5" ht="15" thickBot="1" x14ac:dyDescent="0.35">
      <c r="A17" s="3" t="s">
        <v>82</v>
      </c>
      <c r="B17" s="2" t="s">
        <v>17</v>
      </c>
      <c r="C17" s="2">
        <v>93409</v>
      </c>
      <c r="D17" s="2">
        <v>2375.83</v>
      </c>
      <c r="E17" s="4">
        <v>5.83</v>
      </c>
    </row>
    <row r="18" spans="1:5" ht="15" thickBot="1" x14ac:dyDescent="0.35">
      <c r="A18" s="3" t="s">
        <v>37</v>
      </c>
      <c r="B18" s="2" t="s">
        <v>17</v>
      </c>
      <c r="C18" s="2">
        <v>71747</v>
      </c>
      <c r="D18" s="2">
        <v>9838.66</v>
      </c>
      <c r="E18" s="4">
        <v>7.25</v>
      </c>
    </row>
    <row r="19" spans="1:5" ht="15" thickBot="1" x14ac:dyDescent="0.35">
      <c r="A19" s="3" t="s">
        <v>107</v>
      </c>
      <c r="B19" s="2" t="s">
        <v>30</v>
      </c>
      <c r="C19" s="2">
        <v>69305</v>
      </c>
      <c r="D19" s="2">
        <v>3203.67</v>
      </c>
      <c r="E19" s="4">
        <v>83.65</v>
      </c>
    </row>
    <row r="20" spans="1:5" ht="15" thickBot="1" x14ac:dyDescent="0.35">
      <c r="A20" s="3" t="s">
        <v>71</v>
      </c>
      <c r="B20" s="2" t="s">
        <v>7</v>
      </c>
      <c r="C20" s="2">
        <v>68018</v>
      </c>
      <c r="D20" s="2">
        <v>3523.4</v>
      </c>
      <c r="E20" s="4">
        <v>92.26</v>
      </c>
    </row>
    <row r="21" spans="1:5" ht="15" thickBot="1" x14ac:dyDescent="0.35">
      <c r="A21" s="3" t="s">
        <v>194</v>
      </c>
      <c r="B21" s="2" t="s">
        <v>17</v>
      </c>
      <c r="C21" s="2">
        <v>95165</v>
      </c>
      <c r="D21" s="2">
        <v>8562.76</v>
      </c>
      <c r="E21" s="4">
        <v>37.54</v>
      </c>
    </row>
    <row r="22" spans="1:5" ht="15" thickBot="1" x14ac:dyDescent="0.35">
      <c r="A22" s="3" t="s">
        <v>11</v>
      </c>
      <c r="B22" s="2" t="s">
        <v>12</v>
      </c>
      <c r="C22" s="2">
        <v>44657</v>
      </c>
      <c r="D22" s="2">
        <v>7867.98</v>
      </c>
      <c r="E22" s="4">
        <v>96.01</v>
      </c>
    </row>
    <row r="23" spans="1:5" ht="15" thickBot="1" x14ac:dyDescent="0.35">
      <c r="A23" s="3" t="s">
        <v>91</v>
      </c>
      <c r="B23" s="2" t="s">
        <v>30</v>
      </c>
      <c r="C23" s="2">
        <v>20207</v>
      </c>
      <c r="D23" s="2">
        <v>5369.46</v>
      </c>
      <c r="E23" s="4">
        <v>57.51</v>
      </c>
    </row>
    <row r="24" spans="1:5" ht="15" thickBot="1" x14ac:dyDescent="0.35">
      <c r="A24" s="3" t="s">
        <v>22</v>
      </c>
      <c r="B24" s="2" t="s">
        <v>12</v>
      </c>
      <c r="C24" s="2">
        <v>47484</v>
      </c>
      <c r="D24" s="2">
        <v>3396.39</v>
      </c>
      <c r="E24" s="4">
        <v>19.510000000000002</v>
      </c>
    </row>
    <row r="25" spans="1:5" ht="15" thickBot="1" x14ac:dyDescent="0.35">
      <c r="A25" s="3" t="s">
        <v>61</v>
      </c>
      <c r="B25" s="2" t="s">
        <v>30</v>
      </c>
      <c r="C25" s="2">
        <v>95718</v>
      </c>
      <c r="D25" s="2">
        <v>2443.12</v>
      </c>
      <c r="E25" s="4">
        <v>35.49</v>
      </c>
    </row>
    <row r="26" spans="1:5" ht="15" thickBot="1" x14ac:dyDescent="0.35">
      <c r="A26" s="3" t="s">
        <v>29</v>
      </c>
      <c r="B26" s="2" t="s">
        <v>30</v>
      </c>
      <c r="C26" s="2">
        <v>32131</v>
      </c>
      <c r="D26" s="2">
        <v>1474.23</v>
      </c>
      <c r="E26" s="4">
        <v>45.47</v>
      </c>
    </row>
    <row r="27" spans="1:5" ht="15" thickBot="1" x14ac:dyDescent="0.35">
      <c r="A27" s="3" t="s">
        <v>58</v>
      </c>
      <c r="B27" s="2" t="s">
        <v>17</v>
      </c>
      <c r="C27" s="2">
        <v>32246</v>
      </c>
      <c r="D27" s="2">
        <v>7903.93</v>
      </c>
      <c r="E27" s="4">
        <v>42.12</v>
      </c>
    </row>
    <row r="28" spans="1:5" ht="15" thickBot="1" x14ac:dyDescent="0.35">
      <c r="A28" s="3" t="s">
        <v>95</v>
      </c>
      <c r="B28" s="2" t="s">
        <v>30</v>
      </c>
      <c r="C28" s="2">
        <v>51800</v>
      </c>
      <c r="D28" s="2">
        <v>3042.95</v>
      </c>
      <c r="E28" s="4">
        <v>71.87</v>
      </c>
    </row>
    <row r="29" spans="1:5" ht="15" thickBot="1" x14ac:dyDescent="0.35">
      <c r="A29" s="3" t="s">
        <v>123</v>
      </c>
      <c r="B29" s="2" t="s">
        <v>30</v>
      </c>
      <c r="C29" s="2">
        <v>73977</v>
      </c>
      <c r="D29" s="2">
        <v>1646.75</v>
      </c>
      <c r="E29" s="4">
        <v>43.77</v>
      </c>
    </row>
    <row r="30" spans="1:5" ht="15" thickBot="1" x14ac:dyDescent="0.35">
      <c r="A30" s="3" t="s">
        <v>196</v>
      </c>
      <c r="B30" s="2" t="s">
        <v>30</v>
      </c>
      <c r="C30" s="2">
        <v>12262</v>
      </c>
      <c r="D30" s="2">
        <v>7106.18</v>
      </c>
      <c r="E30" s="4">
        <v>45.69</v>
      </c>
    </row>
    <row r="31" spans="1:5" ht="15" thickBot="1" x14ac:dyDescent="0.35">
      <c r="A31" s="3" t="s">
        <v>45</v>
      </c>
      <c r="B31" s="2" t="s">
        <v>7</v>
      </c>
      <c r="C31" s="2">
        <v>49924</v>
      </c>
      <c r="D31" s="2">
        <v>2199.16</v>
      </c>
      <c r="E31" s="4">
        <v>75.48</v>
      </c>
    </row>
    <row r="32" spans="1:5" ht="15" thickBot="1" x14ac:dyDescent="0.35">
      <c r="A32" s="3" t="s">
        <v>102</v>
      </c>
      <c r="B32" s="2" t="s">
        <v>19</v>
      </c>
      <c r="C32" s="2">
        <v>86263</v>
      </c>
      <c r="D32" s="2">
        <v>3213.71</v>
      </c>
      <c r="E32" s="4">
        <v>98.39</v>
      </c>
    </row>
    <row r="33" spans="1:5" ht="15" thickBot="1" x14ac:dyDescent="0.35">
      <c r="A33" s="3" t="s">
        <v>63</v>
      </c>
      <c r="B33" s="2" t="s">
        <v>12</v>
      </c>
      <c r="C33" s="2">
        <v>33688</v>
      </c>
      <c r="D33" s="2">
        <v>9495.48</v>
      </c>
      <c r="E33" s="4">
        <v>55.55</v>
      </c>
    </row>
    <row r="34" spans="1:5" ht="15" thickBot="1" x14ac:dyDescent="0.35">
      <c r="A34" s="3" t="s">
        <v>159</v>
      </c>
      <c r="B34" s="2" t="s">
        <v>7</v>
      </c>
      <c r="C34" s="2">
        <v>47727</v>
      </c>
      <c r="D34" s="2">
        <v>8907.33</v>
      </c>
      <c r="E34" s="4">
        <v>47.4</v>
      </c>
    </row>
    <row r="35" spans="1:5" ht="15" thickBot="1" x14ac:dyDescent="0.35">
      <c r="A35" s="3" t="s">
        <v>167</v>
      </c>
      <c r="B35" s="2" t="s">
        <v>30</v>
      </c>
      <c r="C35" s="2">
        <v>67213</v>
      </c>
      <c r="D35" s="2">
        <v>5533.81</v>
      </c>
      <c r="E35" s="4">
        <v>90.88</v>
      </c>
    </row>
    <row r="36" spans="1:5" ht="15" thickBot="1" x14ac:dyDescent="0.35">
      <c r="A36" s="3" t="s">
        <v>185</v>
      </c>
      <c r="B36" s="2" t="s">
        <v>30</v>
      </c>
      <c r="C36" s="2">
        <v>24913</v>
      </c>
      <c r="D36" s="2">
        <v>5727.27</v>
      </c>
      <c r="E36" s="4">
        <v>78.849999999999994</v>
      </c>
    </row>
    <row r="37" spans="1:5" ht="15" thickBot="1" x14ac:dyDescent="0.35">
      <c r="A37" s="3" t="s">
        <v>96</v>
      </c>
      <c r="B37" s="2" t="s">
        <v>19</v>
      </c>
      <c r="C37" s="2">
        <v>53942</v>
      </c>
      <c r="D37" s="2">
        <v>5904.31</v>
      </c>
      <c r="E37" s="4">
        <v>32.78</v>
      </c>
    </row>
    <row r="38" spans="1:5" ht="15" thickBot="1" x14ac:dyDescent="0.35">
      <c r="A38" s="3" t="s">
        <v>90</v>
      </c>
      <c r="B38" s="2" t="s">
        <v>19</v>
      </c>
      <c r="C38" s="2">
        <v>97337</v>
      </c>
      <c r="D38" s="2">
        <v>3362.06</v>
      </c>
      <c r="E38" s="4">
        <v>55.46</v>
      </c>
    </row>
    <row r="39" spans="1:5" ht="15" thickBot="1" x14ac:dyDescent="0.35">
      <c r="A39" s="3" t="s">
        <v>160</v>
      </c>
      <c r="B39" s="2" t="s">
        <v>30</v>
      </c>
      <c r="C39" s="2">
        <v>18341</v>
      </c>
      <c r="D39" s="2">
        <v>8465.57</v>
      </c>
      <c r="E39" s="4">
        <v>38.39</v>
      </c>
    </row>
    <row r="40" spans="1:5" ht="15" thickBot="1" x14ac:dyDescent="0.35">
      <c r="A40" s="3" t="s">
        <v>79</v>
      </c>
      <c r="B40" s="2" t="s">
        <v>17</v>
      </c>
      <c r="C40" s="2">
        <v>40503</v>
      </c>
      <c r="D40" s="2">
        <v>7447.46</v>
      </c>
      <c r="E40" s="4">
        <v>98.27</v>
      </c>
    </row>
    <row r="41" spans="1:5" ht="15" thickBot="1" x14ac:dyDescent="0.35">
      <c r="A41" s="3" t="s">
        <v>209</v>
      </c>
      <c r="B41" s="2" t="s">
        <v>7</v>
      </c>
      <c r="C41" s="2">
        <v>52357</v>
      </c>
      <c r="D41" s="2">
        <v>5643.16</v>
      </c>
      <c r="E41" s="4">
        <v>37.130000000000003</v>
      </c>
    </row>
    <row r="42" spans="1:5" ht="15" thickBot="1" x14ac:dyDescent="0.35">
      <c r="A42" s="3" t="s">
        <v>109</v>
      </c>
      <c r="B42" s="2" t="s">
        <v>12</v>
      </c>
      <c r="C42" s="2">
        <v>84721</v>
      </c>
      <c r="D42" s="2">
        <v>2278.9699999999998</v>
      </c>
      <c r="E42" s="4">
        <v>68.53</v>
      </c>
    </row>
    <row r="43" spans="1:5" ht="15" thickBot="1" x14ac:dyDescent="0.35">
      <c r="A43" s="3" t="s">
        <v>54</v>
      </c>
      <c r="B43" s="2" t="s">
        <v>12</v>
      </c>
      <c r="C43" s="2">
        <v>58111</v>
      </c>
      <c r="D43" s="2">
        <v>4610.8999999999996</v>
      </c>
      <c r="E43" s="4">
        <v>21.53</v>
      </c>
    </row>
    <row r="44" spans="1:5" ht="15" thickBot="1" x14ac:dyDescent="0.35">
      <c r="A44" s="3" t="s">
        <v>183</v>
      </c>
      <c r="B44" s="2" t="s">
        <v>7</v>
      </c>
      <c r="C44" s="2">
        <v>14009</v>
      </c>
      <c r="D44" s="2">
        <v>7528.98</v>
      </c>
      <c r="E44" s="4">
        <v>77.62</v>
      </c>
    </row>
    <row r="45" spans="1:5" ht="15" thickBot="1" x14ac:dyDescent="0.35">
      <c r="A45" s="3" t="s">
        <v>81</v>
      </c>
      <c r="B45" s="2" t="s">
        <v>12</v>
      </c>
      <c r="C45" s="2">
        <v>93661</v>
      </c>
      <c r="D45" s="2">
        <v>7324.58</v>
      </c>
      <c r="E45" s="4">
        <v>23.55</v>
      </c>
    </row>
    <row r="46" spans="1:5" ht="15" thickBot="1" x14ac:dyDescent="0.35">
      <c r="A46" s="3" t="s">
        <v>69</v>
      </c>
      <c r="B46" s="2" t="s">
        <v>7</v>
      </c>
      <c r="C46" s="2">
        <v>34725</v>
      </c>
      <c r="D46" s="2">
        <v>3269.89</v>
      </c>
      <c r="E46" s="4">
        <v>78.86</v>
      </c>
    </row>
    <row r="47" spans="1:5" ht="15" thickBot="1" x14ac:dyDescent="0.35">
      <c r="A47" s="3" t="s">
        <v>105</v>
      </c>
      <c r="B47" s="2" t="s">
        <v>30</v>
      </c>
      <c r="C47" s="2">
        <v>87337</v>
      </c>
      <c r="D47" s="2">
        <v>3603.06</v>
      </c>
      <c r="E47" s="4">
        <v>67.13</v>
      </c>
    </row>
    <row r="48" spans="1:5" ht="15" thickBot="1" x14ac:dyDescent="0.35">
      <c r="A48" s="3" t="s">
        <v>134</v>
      </c>
      <c r="B48" s="2" t="s">
        <v>7</v>
      </c>
      <c r="C48" s="2">
        <v>39568</v>
      </c>
      <c r="D48" s="2">
        <v>3580.54</v>
      </c>
      <c r="E48" s="4">
        <v>78.08</v>
      </c>
    </row>
    <row r="49" spans="1:5" ht="15" thickBot="1" x14ac:dyDescent="0.35">
      <c r="A49" s="3" t="s">
        <v>94</v>
      </c>
      <c r="B49" s="2" t="s">
        <v>7</v>
      </c>
      <c r="C49" s="2">
        <v>26338</v>
      </c>
      <c r="D49" s="2">
        <v>578.73</v>
      </c>
      <c r="E49" s="4">
        <v>72.52</v>
      </c>
    </row>
    <row r="50" spans="1:5" ht="15" thickBot="1" x14ac:dyDescent="0.35">
      <c r="A50" s="3" t="s">
        <v>210</v>
      </c>
      <c r="B50" s="2" t="s">
        <v>7</v>
      </c>
      <c r="C50" s="2">
        <v>65666</v>
      </c>
      <c r="D50" s="2">
        <v>7269.98</v>
      </c>
      <c r="E50" s="4">
        <v>75.62</v>
      </c>
    </row>
    <row r="51" spans="1:5" ht="15" thickBot="1" x14ac:dyDescent="0.35">
      <c r="A51" s="3" t="s">
        <v>139</v>
      </c>
      <c r="B51" s="2" t="s">
        <v>7</v>
      </c>
      <c r="C51" s="2">
        <v>10067</v>
      </c>
      <c r="D51" s="2">
        <v>1953.33</v>
      </c>
      <c r="E51" s="4">
        <v>25.15</v>
      </c>
    </row>
    <row r="52" spans="1:5" ht="15" thickBot="1" x14ac:dyDescent="0.35">
      <c r="A52" s="3" t="s">
        <v>197</v>
      </c>
      <c r="B52" s="2" t="s">
        <v>30</v>
      </c>
      <c r="C52" s="2">
        <v>56752</v>
      </c>
      <c r="D52" s="2">
        <v>4177.68</v>
      </c>
      <c r="E52" s="4">
        <v>10.96</v>
      </c>
    </row>
    <row r="53" spans="1:5" ht="15" thickBot="1" x14ac:dyDescent="0.35">
      <c r="A53" s="3" t="s">
        <v>174</v>
      </c>
      <c r="B53" s="2" t="s">
        <v>19</v>
      </c>
      <c r="C53" s="2">
        <v>66163</v>
      </c>
      <c r="D53" s="2">
        <v>1416.57</v>
      </c>
      <c r="E53" s="4">
        <v>68.73</v>
      </c>
    </row>
    <row r="54" spans="1:5" ht="15" thickBot="1" x14ac:dyDescent="0.35">
      <c r="A54" s="3" t="s">
        <v>125</v>
      </c>
      <c r="B54" s="2" t="s">
        <v>7</v>
      </c>
      <c r="C54" s="2">
        <v>56392</v>
      </c>
      <c r="D54" s="2">
        <v>5703.76</v>
      </c>
      <c r="E54" s="4">
        <v>23.04</v>
      </c>
    </row>
    <row r="55" spans="1:5" ht="15" thickBot="1" x14ac:dyDescent="0.35">
      <c r="A55" s="3" t="s">
        <v>103</v>
      </c>
      <c r="B55" s="2" t="s">
        <v>19</v>
      </c>
      <c r="C55" s="2">
        <v>38869</v>
      </c>
      <c r="D55" s="2">
        <v>5109.76</v>
      </c>
      <c r="E55" s="4">
        <v>35.270000000000003</v>
      </c>
    </row>
    <row r="56" spans="1:5" ht="15" thickBot="1" x14ac:dyDescent="0.35">
      <c r="A56" s="3" t="s">
        <v>168</v>
      </c>
      <c r="B56" s="2" t="s">
        <v>17</v>
      </c>
      <c r="C56" s="2">
        <v>41050</v>
      </c>
      <c r="D56" s="2">
        <v>6025.84</v>
      </c>
      <c r="E56" s="4">
        <v>53.53</v>
      </c>
    </row>
    <row r="57" spans="1:5" ht="15" thickBot="1" x14ac:dyDescent="0.35">
      <c r="A57" s="3" t="s">
        <v>65</v>
      </c>
      <c r="B57" s="2" t="s">
        <v>30</v>
      </c>
      <c r="C57" s="2">
        <v>99026</v>
      </c>
      <c r="D57" s="2">
        <v>5453.2</v>
      </c>
      <c r="E57" s="4">
        <v>57.49</v>
      </c>
    </row>
    <row r="58" spans="1:5" ht="15" thickBot="1" x14ac:dyDescent="0.35">
      <c r="A58" s="3" t="s">
        <v>36</v>
      </c>
      <c r="B58" s="2" t="s">
        <v>12</v>
      </c>
      <c r="C58" s="2">
        <v>40226</v>
      </c>
      <c r="D58" s="2">
        <v>7868.86</v>
      </c>
      <c r="E58" s="4">
        <v>80.53</v>
      </c>
    </row>
    <row r="59" spans="1:5" ht="15" thickBot="1" x14ac:dyDescent="0.35">
      <c r="A59" s="3" t="s">
        <v>203</v>
      </c>
      <c r="B59" s="2" t="s">
        <v>12</v>
      </c>
      <c r="C59" s="2">
        <v>66398</v>
      </c>
      <c r="D59" s="2">
        <v>8713.61</v>
      </c>
      <c r="E59" s="4">
        <v>83.44</v>
      </c>
    </row>
    <row r="60" spans="1:5" ht="15" thickBot="1" x14ac:dyDescent="0.35">
      <c r="A60" s="3" t="s">
        <v>83</v>
      </c>
      <c r="B60" s="2" t="s">
        <v>17</v>
      </c>
      <c r="C60" s="2">
        <v>30934</v>
      </c>
      <c r="D60" s="2">
        <v>4175.6499999999996</v>
      </c>
      <c r="E60" s="4">
        <v>77.290000000000006</v>
      </c>
    </row>
    <row r="61" spans="1:5" ht="15" thickBot="1" x14ac:dyDescent="0.35">
      <c r="A61" s="3" t="s">
        <v>42</v>
      </c>
      <c r="B61" s="2" t="s">
        <v>30</v>
      </c>
      <c r="C61" s="2">
        <v>41539</v>
      </c>
      <c r="D61" s="2">
        <v>982.8</v>
      </c>
      <c r="E61" s="4">
        <v>79.7</v>
      </c>
    </row>
    <row r="62" spans="1:5" ht="15" thickBot="1" x14ac:dyDescent="0.35">
      <c r="A62" s="3" t="s">
        <v>106</v>
      </c>
      <c r="B62" s="2" t="s">
        <v>12</v>
      </c>
      <c r="C62" s="2">
        <v>21386</v>
      </c>
      <c r="D62" s="2">
        <v>2271.92</v>
      </c>
      <c r="E62" s="4">
        <v>49.67</v>
      </c>
    </row>
    <row r="63" spans="1:5" ht="15" thickBot="1" x14ac:dyDescent="0.35">
      <c r="A63" s="3" t="s">
        <v>137</v>
      </c>
      <c r="B63" s="2" t="s">
        <v>17</v>
      </c>
      <c r="C63" s="2">
        <v>19265</v>
      </c>
      <c r="D63" s="2">
        <v>776.6</v>
      </c>
      <c r="E63" s="4">
        <v>39.75</v>
      </c>
    </row>
    <row r="64" spans="1:5" ht="15" thickBot="1" x14ac:dyDescent="0.35">
      <c r="A64" s="3" t="s">
        <v>85</v>
      </c>
      <c r="B64" s="2" t="s">
        <v>30</v>
      </c>
      <c r="C64" s="2">
        <v>45519</v>
      </c>
      <c r="D64" s="2">
        <v>7987.69</v>
      </c>
      <c r="E64" s="4">
        <v>10.86</v>
      </c>
    </row>
    <row r="65" spans="1:5" ht="15" thickBot="1" x14ac:dyDescent="0.35">
      <c r="A65" s="3" t="s">
        <v>110</v>
      </c>
      <c r="B65" s="2" t="s">
        <v>12</v>
      </c>
      <c r="C65" s="2">
        <v>70481</v>
      </c>
      <c r="D65" s="2">
        <v>4452.83</v>
      </c>
      <c r="E65" s="4">
        <v>91.26</v>
      </c>
    </row>
    <row r="66" spans="1:5" ht="15" thickBot="1" x14ac:dyDescent="0.35">
      <c r="A66" s="3" t="s">
        <v>27</v>
      </c>
      <c r="B66" s="2" t="s">
        <v>12</v>
      </c>
      <c r="C66" s="2">
        <v>91031</v>
      </c>
      <c r="D66" s="2">
        <v>1783.57</v>
      </c>
      <c r="E66" s="4">
        <v>32.049999999999997</v>
      </c>
    </row>
    <row r="67" spans="1:5" ht="15" thickBot="1" x14ac:dyDescent="0.35">
      <c r="A67" s="3" t="s">
        <v>184</v>
      </c>
      <c r="B67" s="2" t="s">
        <v>30</v>
      </c>
      <c r="C67" s="2">
        <v>13543</v>
      </c>
      <c r="D67" s="2">
        <v>7854.96</v>
      </c>
      <c r="E67" s="4">
        <v>85.57</v>
      </c>
    </row>
    <row r="68" spans="1:5" ht="15" thickBot="1" x14ac:dyDescent="0.35">
      <c r="A68" s="3" t="s">
        <v>202</v>
      </c>
      <c r="B68" s="2" t="s">
        <v>12</v>
      </c>
      <c r="C68" s="2">
        <v>28400</v>
      </c>
      <c r="D68" s="2">
        <v>3056.67</v>
      </c>
      <c r="E68" s="4">
        <v>52.68</v>
      </c>
    </row>
    <row r="69" spans="1:5" ht="15" thickBot="1" x14ac:dyDescent="0.35">
      <c r="A69" s="3" t="s">
        <v>88</v>
      </c>
      <c r="B69" s="2" t="s">
        <v>7</v>
      </c>
      <c r="C69" s="2">
        <v>44825</v>
      </c>
      <c r="D69" s="2">
        <v>6023.03</v>
      </c>
      <c r="E69" s="4">
        <v>27.2</v>
      </c>
    </row>
    <row r="70" spans="1:5" ht="15" thickBot="1" x14ac:dyDescent="0.35">
      <c r="A70" s="3" t="s">
        <v>158</v>
      </c>
      <c r="B70" s="2" t="s">
        <v>30</v>
      </c>
      <c r="C70" s="2">
        <v>85488</v>
      </c>
      <c r="D70" s="2">
        <v>9691.57</v>
      </c>
      <c r="E70" s="4">
        <v>96.98</v>
      </c>
    </row>
    <row r="71" spans="1:5" ht="15" thickBot="1" x14ac:dyDescent="0.35">
      <c r="A71" s="3" t="s">
        <v>136</v>
      </c>
      <c r="B71" s="2" t="s">
        <v>17</v>
      </c>
      <c r="C71" s="2">
        <v>15128</v>
      </c>
      <c r="D71" s="2">
        <v>8847.09</v>
      </c>
      <c r="E71" s="4">
        <v>5.25</v>
      </c>
    </row>
    <row r="72" spans="1:5" ht="15" thickBot="1" x14ac:dyDescent="0.35">
      <c r="A72" s="3" t="s">
        <v>93</v>
      </c>
      <c r="B72" s="2" t="s">
        <v>30</v>
      </c>
      <c r="C72" s="2">
        <v>26378</v>
      </c>
      <c r="D72" s="2">
        <v>2915.44</v>
      </c>
      <c r="E72" s="4">
        <v>29.84</v>
      </c>
    </row>
    <row r="73" spans="1:5" ht="15" thickBot="1" x14ac:dyDescent="0.35">
      <c r="A73" s="3" t="s">
        <v>129</v>
      </c>
      <c r="B73" s="2" t="s">
        <v>17</v>
      </c>
      <c r="C73" s="2">
        <v>95292</v>
      </c>
      <c r="D73" s="2">
        <v>697.47</v>
      </c>
      <c r="E73" s="4">
        <v>88.35</v>
      </c>
    </row>
    <row r="74" spans="1:5" ht="15" thickBot="1" x14ac:dyDescent="0.35">
      <c r="A74" s="3" t="s">
        <v>98</v>
      </c>
      <c r="B74" s="2" t="s">
        <v>19</v>
      </c>
      <c r="C74" s="2">
        <v>26170</v>
      </c>
      <c r="D74" s="2">
        <v>8057.54</v>
      </c>
      <c r="E74" s="4">
        <v>63.71</v>
      </c>
    </row>
    <row r="75" spans="1:5" ht="15" thickBot="1" x14ac:dyDescent="0.35">
      <c r="A75" s="3" t="s">
        <v>60</v>
      </c>
      <c r="B75" s="2" t="s">
        <v>12</v>
      </c>
      <c r="C75" s="2">
        <v>25148</v>
      </c>
      <c r="D75" s="2">
        <v>9604.5499999999993</v>
      </c>
      <c r="E75" s="4">
        <v>63.47</v>
      </c>
    </row>
    <row r="76" spans="1:5" ht="15" thickBot="1" x14ac:dyDescent="0.35">
      <c r="A76" s="3" t="s">
        <v>188</v>
      </c>
      <c r="B76" s="2" t="s">
        <v>19</v>
      </c>
      <c r="C76" s="2">
        <v>60513</v>
      </c>
      <c r="D76" s="2">
        <v>4578.16</v>
      </c>
      <c r="E76" s="4">
        <v>65.53</v>
      </c>
    </row>
    <row r="77" spans="1:5" ht="15" thickBot="1" x14ac:dyDescent="0.35">
      <c r="A77" s="3" t="s">
        <v>190</v>
      </c>
      <c r="B77" s="2" t="s">
        <v>17</v>
      </c>
      <c r="C77" s="2">
        <v>41953</v>
      </c>
      <c r="D77" s="2">
        <v>2379.14</v>
      </c>
      <c r="E77" s="4">
        <v>65.67</v>
      </c>
    </row>
    <row r="78" spans="1:5" ht="15" thickBot="1" x14ac:dyDescent="0.35">
      <c r="A78" s="3" t="s">
        <v>64</v>
      </c>
      <c r="B78" s="2" t="s">
        <v>30</v>
      </c>
      <c r="C78" s="2">
        <v>52836</v>
      </c>
      <c r="D78" s="2">
        <v>9330.2999999999993</v>
      </c>
      <c r="E78" s="4">
        <v>87.27</v>
      </c>
    </row>
    <row r="79" spans="1:5" ht="15" thickBot="1" x14ac:dyDescent="0.35">
      <c r="A79" s="3" t="s">
        <v>97</v>
      </c>
      <c r="B79" s="2" t="s">
        <v>7</v>
      </c>
      <c r="C79" s="2">
        <v>78624</v>
      </c>
      <c r="D79" s="2">
        <v>2373.27</v>
      </c>
      <c r="E79" s="4">
        <v>25.07</v>
      </c>
    </row>
    <row r="80" spans="1:5" ht="15" thickBot="1" x14ac:dyDescent="0.35">
      <c r="A80" s="3" t="s">
        <v>26</v>
      </c>
      <c r="B80" s="2" t="s">
        <v>17</v>
      </c>
      <c r="C80" s="2">
        <v>17311</v>
      </c>
      <c r="D80" s="2">
        <v>2257.38</v>
      </c>
      <c r="E80" s="4">
        <v>91.07</v>
      </c>
    </row>
    <row r="81" spans="1:5" ht="15" thickBot="1" x14ac:dyDescent="0.35">
      <c r="A81" s="3" t="s">
        <v>206</v>
      </c>
      <c r="B81" s="2" t="s">
        <v>19</v>
      </c>
      <c r="C81" s="2">
        <v>10250</v>
      </c>
      <c r="D81" s="2">
        <v>4717</v>
      </c>
      <c r="E81" s="4">
        <v>16.600000000000001</v>
      </c>
    </row>
    <row r="82" spans="1:5" ht="15" thickBot="1" x14ac:dyDescent="0.35">
      <c r="A82" s="3" t="s">
        <v>135</v>
      </c>
      <c r="B82" s="2" t="s">
        <v>12</v>
      </c>
      <c r="C82" s="2">
        <v>39560</v>
      </c>
      <c r="D82" s="2">
        <v>8380.77</v>
      </c>
      <c r="E82" s="4">
        <v>94.01</v>
      </c>
    </row>
    <row r="83" spans="1:5" ht="15" thickBot="1" x14ac:dyDescent="0.35">
      <c r="A83" s="3" t="s">
        <v>100</v>
      </c>
      <c r="B83" s="2" t="s">
        <v>7</v>
      </c>
      <c r="C83" s="2">
        <v>17468</v>
      </c>
      <c r="D83" s="2">
        <v>6359.73</v>
      </c>
      <c r="E83" s="4">
        <v>5.22</v>
      </c>
    </row>
    <row r="84" spans="1:5" ht="15" thickBot="1" x14ac:dyDescent="0.35">
      <c r="A84" s="3" t="s">
        <v>143</v>
      </c>
      <c r="B84" s="2" t="s">
        <v>17</v>
      </c>
      <c r="C84" s="2">
        <v>94704</v>
      </c>
      <c r="D84" s="2">
        <v>6632.95</v>
      </c>
      <c r="E84" s="4">
        <v>14.76</v>
      </c>
    </row>
    <row r="85" spans="1:5" ht="15" thickBot="1" x14ac:dyDescent="0.35">
      <c r="A85" s="3" t="s">
        <v>75</v>
      </c>
      <c r="B85" s="2" t="s">
        <v>19</v>
      </c>
      <c r="C85" s="2">
        <v>54136</v>
      </c>
      <c r="D85" s="2">
        <v>2775.38</v>
      </c>
      <c r="E85" s="4">
        <v>75.459999999999994</v>
      </c>
    </row>
    <row r="86" spans="1:5" ht="15" thickBot="1" x14ac:dyDescent="0.35">
      <c r="A86" s="3" t="s">
        <v>114</v>
      </c>
      <c r="B86" s="2" t="s">
        <v>30</v>
      </c>
      <c r="C86" s="2">
        <v>29264</v>
      </c>
      <c r="D86" s="2">
        <v>8362.7199999999993</v>
      </c>
      <c r="E86" s="4">
        <v>61.93</v>
      </c>
    </row>
    <row r="87" spans="1:5" ht="15" thickBot="1" x14ac:dyDescent="0.35">
      <c r="A87" s="3" t="s">
        <v>73</v>
      </c>
      <c r="B87" s="2" t="s">
        <v>30</v>
      </c>
      <c r="C87" s="2">
        <v>55974</v>
      </c>
      <c r="D87" s="2">
        <v>7542.28</v>
      </c>
      <c r="E87" s="4">
        <v>72.430000000000007</v>
      </c>
    </row>
    <row r="88" spans="1:5" ht="15" thickBot="1" x14ac:dyDescent="0.35">
      <c r="A88" s="3" t="s">
        <v>51</v>
      </c>
      <c r="B88" s="2" t="s">
        <v>30</v>
      </c>
      <c r="C88" s="2">
        <v>44164</v>
      </c>
      <c r="D88" s="2">
        <v>3869.32</v>
      </c>
      <c r="E88" s="4">
        <v>13.81</v>
      </c>
    </row>
    <row r="89" spans="1:5" ht="15" thickBot="1" x14ac:dyDescent="0.35">
      <c r="A89" s="3" t="s">
        <v>6</v>
      </c>
      <c r="B89" s="2" t="s">
        <v>7</v>
      </c>
      <c r="C89" s="2">
        <v>77330</v>
      </c>
      <c r="D89" s="2">
        <v>6936.58</v>
      </c>
      <c r="E89" s="4">
        <v>82.3</v>
      </c>
    </row>
    <row r="90" spans="1:5" ht="15" thickBot="1" x14ac:dyDescent="0.35">
      <c r="A90" s="3" t="s">
        <v>121</v>
      </c>
      <c r="B90" s="2" t="s">
        <v>30</v>
      </c>
      <c r="C90" s="2">
        <v>58895</v>
      </c>
      <c r="D90" s="2">
        <v>3039.17</v>
      </c>
      <c r="E90" s="4">
        <v>59.82</v>
      </c>
    </row>
    <row r="91" spans="1:5" ht="15" thickBot="1" x14ac:dyDescent="0.35">
      <c r="A91" s="3" t="s">
        <v>20</v>
      </c>
      <c r="B91" s="2" t="s">
        <v>17</v>
      </c>
      <c r="C91" s="2">
        <v>29895</v>
      </c>
      <c r="D91" s="2">
        <v>1631.08</v>
      </c>
      <c r="E91" s="4">
        <v>39.93</v>
      </c>
    </row>
    <row r="92" spans="1:5" ht="15" thickBot="1" x14ac:dyDescent="0.35">
      <c r="A92" s="3" t="s">
        <v>46</v>
      </c>
      <c r="B92" s="2" t="s">
        <v>30</v>
      </c>
      <c r="C92" s="2">
        <v>43490</v>
      </c>
      <c r="D92" s="2">
        <v>9300.8799999999992</v>
      </c>
      <c r="E92" s="4">
        <v>58.43</v>
      </c>
    </row>
    <row r="93" spans="1:5" ht="15" thickBot="1" x14ac:dyDescent="0.35">
      <c r="A93" s="3" t="s">
        <v>120</v>
      </c>
      <c r="B93" s="2" t="s">
        <v>30</v>
      </c>
      <c r="C93" s="2">
        <v>79495</v>
      </c>
      <c r="D93" s="2">
        <v>7157.48</v>
      </c>
      <c r="E93" s="4">
        <v>26.84</v>
      </c>
    </row>
    <row r="94" spans="1:5" ht="15" thickBot="1" x14ac:dyDescent="0.35">
      <c r="A94" s="3" t="s">
        <v>59</v>
      </c>
      <c r="B94" s="2" t="s">
        <v>17</v>
      </c>
      <c r="C94" s="2">
        <v>15553</v>
      </c>
      <c r="D94" s="2">
        <v>3909.51</v>
      </c>
      <c r="E94" s="4">
        <v>46.44</v>
      </c>
    </row>
    <row r="95" spans="1:5" ht="15" thickBot="1" x14ac:dyDescent="0.35">
      <c r="A95" s="3" t="s">
        <v>208</v>
      </c>
      <c r="B95" s="2" t="s">
        <v>19</v>
      </c>
      <c r="C95" s="2">
        <v>40553</v>
      </c>
      <c r="D95" s="2">
        <v>4875.2299999999996</v>
      </c>
      <c r="E95" s="4">
        <v>23.33</v>
      </c>
    </row>
    <row r="96" spans="1:5" ht="15" thickBot="1" x14ac:dyDescent="0.35">
      <c r="A96" s="3" t="s">
        <v>149</v>
      </c>
      <c r="B96" s="2" t="s">
        <v>17</v>
      </c>
      <c r="C96" s="2">
        <v>49885</v>
      </c>
      <c r="D96" s="2">
        <v>6845.46</v>
      </c>
      <c r="E96" s="4">
        <v>58.4</v>
      </c>
    </row>
    <row r="97" spans="1:5" ht="15" thickBot="1" x14ac:dyDescent="0.35">
      <c r="A97" s="3" t="s">
        <v>153</v>
      </c>
      <c r="B97" s="2" t="s">
        <v>7</v>
      </c>
      <c r="C97" s="2">
        <v>21388</v>
      </c>
      <c r="D97" s="2">
        <v>5249.39</v>
      </c>
      <c r="E97" s="4">
        <v>64.2</v>
      </c>
    </row>
    <row r="98" spans="1:5" ht="15" thickBot="1" x14ac:dyDescent="0.35">
      <c r="A98" s="3" t="s">
        <v>68</v>
      </c>
      <c r="B98" s="2" t="s">
        <v>12</v>
      </c>
      <c r="C98" s="2">
        <v>69100</v>
      </c>
      <c r="D98" s="2">
        <v>9356.02</v>
      </c>
      <c r="E98" s="4">
        <v>16.5</v>
      </c>
    </row>
    <row r="99" spans="1:5" ht="15" thickBot="1" x14ac:dyDescent="0.35">
      <c r="A99" s="3" t="s">
        <v>181</v>
      </c>
      <c r="B99" s="2" t="s">
        <v>30</v>
      </c>
      <c r="C99" s="2">
        <v>28704</v>
      </c>
      <c r="D99" s="2">
        <v>6009.24</v>
      </c>
      <c r="E99" s="4">
        <v>39.31</v>
      </c>
    </row>
    <row r="100" spans="1:5" ht="15" thickBot="1" x14ac:dyDescent="0.35">
      <c r="A100" s="3" t="s">
        <v>115</v>
      </c>
      <c r="B100" s="2" t="s">
        <v>19</v>
      </c>
      <c r="C100" s="2">
        <v>17162</v>
      </c>
      <c r="D100" s="2">
        <v>5079.95</v>
      </c>
      <c r="E100" s="4">
        <v>19.239999999999998</v>
      </c>
    </row>
    <row r="101" spans="1:5" ht="15" thickBot="1" x14ac:dyDescent="0.35">
      <c r="A101" s="3" t="s">
        <v>53</v>
      </c>
      <c r="B101" s="2" t="s">
        <v>7</v>
      </c>
      <c r="C101" s="2">
        <v>90632</v>
      </c>
      <c r="D101" s="2">
        <v>5292.17</v>
      </c>
      <c r="E101" s="4">
        <v>78.45</v>
      </c>
    </row>
    <row r="102" spans="1:5" ht="15" thickBot="1" x14ac:dyDescent="0.35">
      <c r="A102" s="3" t="s">
        <v>33</v>
      </c>
      <c r="B102" s="2" t="s">
        <v>19</v>
      </c>
      <c r="C102" s="2">
        <v>65719</v>
      </c>
      <c r="D102" s="2">
        <v>9362.41</v>
      </c>
      <c r="E102" s="4">
        <v>86.55</v>
      </c>
    </row>
    <row r="103" spans="1:5" ht="15" thickBot="1" x14ac:dyDescent="0.35">
      <c r="A103" s="3" t="s">
        <v>169</v>
      </c>
      <c r="B103" s="2" t="s">
        <v>12</v>
      </c>
      <c r="C103" s="2">
        <v>82377</v>
      </c>
      <c r="D103" s="2">
        <v>7974.74</v>
      </c>
      <c r="E103" s="4">
        <v>9.17</v>
      </c>
    </row>
    <row r="104" spans="1:5" ht="15" thickBot="1" x14ac:dyDescent="0.35">
      <c r="A104" s="3" t="s">
        <v>62</v>
      </c>
      <c r="B104" s="2" t="s">
        <v>30</v>
      </c>
      <c r="C104" s="2">
        <v>22309</v>
      </c>
      <c r="D104" s="2">
        <v>3656.29</v>
      </c>
      <c r="E104" s="4">
        <v>75.25</v>
      </c>
    </row>
    <row r="105" spans="1:5" ht="15" thickBot="1" x14ac:dyDescent="0.35">
      <c r="A105" s="3" t="s">
        <v>31</v>
      </c>
      <c r="B105" s="2" t="s">
        <v>30</v>
      </c>
      <c r="C105" s="2">
        <v>84851</v>
      </c>
      <c r="D105" s="2">
        <v>560.75</v>
      </c>
      <c r="E105" s="4">
        <v>80.23</v>
      </c>
    </row>
    <row r="106" spans="1:5" ht="15" thickBot="1" x14ac:dyDescent="0.35">
      <c r="A106" s="3" t="s">
        <v>211</v>
      </c>
      <c r="B106" s="2" t="s">
        <v>7</v>
      </c>
      <c r="C106" s="2">
        <v>27028</v>
      </c>
      <c r="D106" s="2">
        <v>4617.92</v>
      </c>
      <c r="E106" s="4">
        <v>57.62</v>
      </c>
    </row>
    <row r="107" spans="1:5" ht="15" thickBot="1" x14ac:dyDescent="0.35">
      <c r="A107" s="3" t="s">
        <v>18</v>
      </c>
      <c r="B107" s="2" t="s">
        <v>19</v>
      </c>
      <c r="C107" s="2">
        <v>98682</v>
      </c>
      <c r="D107" s="2">
        <v>6220.56</v>
      </c>
      <c r="E107" s="4">
        <v>70.099999999999994</v>
      </c>
    </row>
    <row r="108" spans="1:5" ht="15" thickBot="1" x14ac:dyDescent="0.35">
      <c r="A108" s="3" t="s">
        <v>16</v>
      </c>
      <c r="B108" s="2" t="s">
        <v>17</v>
      </c>
      <c r="C108" s="2">
        <v>43512</v>
      </c>
      <c r="D108" s="2">
        <v>5352.18</v>
      </c>
      <c r="E108" s="4">
        <v>6.17</v>
      </c>
    </row>
    <row r="109" spans="1:5" ht="15" thickBot="1" x14ac:dyDescent="0.35">
      <c r="A109" s="3" t="s">
        <v>101</v>
      </c>
      <c r="B109" s="2" t="s">
        <v>19</v>
      </c>
      <c r="C109" s="2">
        <v>39050</v>
      </c>
      <c r="D109" s="2">
        <v>5885.73</v>
      </c>
      <c r="E109" s="4">
        <v>93.04</v>
      </c>
    </row>
    <row r="110" spans="1:5" ht="15" thickBot="1" x14ac:dyDescent="0.35">
      <c r="A110" s="3" t="s">
        <v>166</v>
      </c>
      <c r="B110" s="2" t="s">
        <v>7</v>
      </c>
      <c r="C110" s="2">
        <v>34318</v>
      </c>
      <c r="D110" s="2">
        <v>675.67</v>
      </c>
      <c r="E110" s="4">
        <v>41.05</v>
      </c>
    </row>
    <row r="111" spans="1:5" ht="15" thickBot="1" x14ac:dyDescent="0.35">
      <c r="A111" s="3" t="s">
        <v>186</v>
      </c>
      <c r="B111" s="2" t="s">
        <v>30</v>
      </c>
      <c r="C111" s="2">
        <v>85868</v>
      </c>
      <c r="D111" s="2">
        <v>907.72</v>
      </c>
      <c r="E111" s="4">
        <v>90.36</v>
      </c>
    </row>
    <row r="112" spans="1:5" ht="15" thickBot="1" x14ac:dyDescent="0.35">
      <c r="A112" s="3" t="s">
        <v>176</v>
      </c>
      <c r="B112" s="2" t="s">
        <v>19</v>
      </c>
      <c r="C112" s="2">
        <v>10907</v>
      </c>
      <c r="D112" s="2">
        <v>4748.66</v>
      </c>
      <c r="E112" s="4">
        <v>39.36</v>
      </c>
    </row>
    <row r="113" spans="1:5" ht="15" thickBot="1" x14ac:dyDescent="0.35">
      <c r="A113" s="3" t="s">
        <v>178</v>
      </c>
      <c r="B113" s="2" t="s">
        <v>30</v>
      </c>
      <c r="C113" s="2">
        <v>88188</v>
      </c>
      <c r="D113" s="2">
        <v>815.86</v>
      </c>
      <c r="E113" s="4">
        <v>57.53</v>
      </c>
    </row>
    <row r="114" spans="1:5" ht="15" thickBot="1" x14ac:dyDescent="0.35">
      <c r="A114" s="3" t="s">
        <v>164</v>
      </c>
      <c r="B114" s="2" t="s">
        <v>19</v>
      </c>
      <c r="C114" s="2">
        <v>69636</v>
      </c>
      <c r="D114" s="2">
        <v>4246.55</v>
      </c>
      <c r="E114" s="4">
        <v>69.290000000000006</v>
      </c>
    </row>
    <row r="115" spans="1:5" ht="15" thickBot="1" x14ac:dyDescent="0.35">
      <c r="A115" s="3" t="s">
        <v>138</v>
      </c>
      <c r="B115" s="2" t="s">
        <v>12</v>
      </c>
      <c r="C115" s="2">
        <v>57353</v>
      </c>
      <c r="D115" s="2">
        <v>2274.71</v>
      </c>
      <c r="E115" s="4">
        <v>65.34</v>
      </c>
    </row>
    <row r="116" spans="1:5" ht="15" thickBot="1" x14ac:dyDescent="0.35">
      <c r="A116" s="3" t="s">
        <v>72</v>
      </c>
      <c r="B116" s="2" t="s">
        <v>19</v>
      </c>
      <c r="C116" s="2">
        <v>29318</v>
      </c>
      <c r="D116" s="2">
        <v>9860.6200000000008</v>
      </c>
      <c r="E116" s="4">
        <v>14.58</v>
      </c>
    </row>
    <row r="117" spans="1:5" ht="15" thickBot="1" x14ac:dyDescent="0.35">
      <c r="A117" s="3" t="s">
        <v>133</v>
      </c>
      <c r="B117" s="2" t="s">
        <v>17</v>
      </c>
      <c r="C117" s="2">
        <v>48501</v>
      </c>
      <c r="D117" s="2">
        <v>7209.77</v>
      </c>
      <c r="E117" s="4">
        <v>92.51</v>
      </c>
    </row>
    <row r="118" spans="1:5" ht="15" thickBot="1" x14ac:dyDescent="0.35">
      <c r="A118" s="3" t="s">
        <v>205</v>
      </c>
      <c r="B118" s="2" t="s">
        <v>17</v>
      </c>
      <c r="C118" s="2">
        <v>52594</v>
      </c>
      <c r="D118" s="2">
        <v>8715.0400000000009</v>
      </c>
      <c r="E118" s="4">
        <v>90.54</v>
      </c>
    </row>
    <row r="119" spans="1:5" ht="15" thickBot="1" x14ac:dyDescent="0.35">
      <c r="A119" s="3" t="s">
        <v>146</v>
      </c>
      <c r="B119" s="2" t="s">
        <v>7</v>
      </c>
      <c r="C119" s="2">
        <v>14170</v>
      </c>
      <c r="D119" s="2">
        <v>5455.23</v>
      </c>
      <c r="E119" s="4">
        <v>25.46</v>
      </c>
    </row>
    <row r="120" spans="1:5" ht="15" thickBot="1" x14ac:dyDescent="0.35">
      <c r="A120" s="3" t="s">
        <v>218</v>
      </c>
      <c r="B120" s="2" t="s">
        <v>17</v>
      </c>
      <c r="C120" s="2">
        <v>22525</v>
      </c>
      <c r="D120" s="2">
        <v>9465.65</v>
      </c>
      <c r="E120" s="4">
        <v>37.79</v>
      </c>
    </row>
    <row r="121" spans="1:5" ht="15" thickBot="1" x14ac:dyDescent="0.35">
      <c r="A121" s="3" t="s">
        <v>38</v>
      </c>
      <c r="B121" s="2" t="s">
        <v>30</v>
      </c>
      <c r="C121" s="2">
        <v>57215</v>
      </c>
      <c r="D121" s="2">
        <v>3227.1</v>
      </c>
      <c r="E121" s="4">
        <v>32.909999999999997</v>
      </c>
    </row>
    <row r="122" spans="1:5" ht="15" thickBot="1" x14ac:dyDescent="0.35">
      <c r="A122" s="3" t="s">
        <v>48</v>
      </c>
      <c r="B122" s="2" t="s">
        <v>19</v>
      </c>
      <c r="C122" s="2">
        <v>11952</v>
      </c>
      <c r="D122" s="2">
        <v>4637.74</v>
      </c>
      <c r="E122" s="4">
        <v>63.78</v>
      </c>
    </row>
    <row r="123" spans="1:5" ht="15" thickBot="1" x14ac:dyDescent="0.35">
      <c r="A123" s="3" t="s">
        <v>173</v>
      </c>
      <c r="B123" s="2" t="s">
        <v>30</v>
      </c>
      <c r="C123" s="2">
        <v>49620</v>
      </c>
      <c r="D123" s="2">
        <v>2424.31</v>
      </c>
      <c r="E123" s="4">
        <v>62.09</v>
      </c>
    </row>
    <row r="124" spans="1:5" ht="15" thickBot="1" x14ac:dyDescent="0.35">
      <c r="A124" s="3" t="s">
        <v>198</v>
      </c>
      <c r="B124" s="2" t="s">
        <v>12</v>
      </c>
      <c r="C124" s="2">
        <v>58113</v>
      </c>
      <c r="D124" s="2">
        <v>6382.12</v>
      </c>
      <c r="E124" s="4">
        <v>56.66</v>
      </c>
    </row>
    <row r="125" spans="1:5" ht="15" thickBot="1" x14ac:dyDescent="0.35">
      <c r="A125" s="3" t="s">
        <v>111</v>
      </c>
      <c r="B125" s="2" t="s">
        <v>19</v>
      </c>
      <c r="C125" s="2">
        <v>37309</v>
      </c>
      <c r="D125" s="2">
        <v>4508.54</v>
      </c>
      <c r="E125" s="4">
        <v>47.15</v>
      </c>
    </row>
    <row r="126" spans="1:5" ht="15" thickBot="1" x14ac:dyDescent="0.35">
      <c r="A126" s="3" t="s">
        <v>130</v>
      </c>
      <c r="B126" s="2" t="s">
        <v>12</v>
      </c>
      <c r="C126" s="2">
        <v>82332</v>
      </c>
      <c r="D126" s="2">
        <v>7134.86</v>
      </c>
      <c r="E126" s="4">
        <v>22.44</v>
      </c>
    </row>
    <row r="127" spans="1:5" ht="15" thickBot="1" x14ac:dyDescent="0.35">
      <c r="A127" s="3" t="s">
        <v>80</v>
      </c>
      <c r="B127" s="2" t="s">
        <v>17</v>
      </c>
      <c r="C127" s="2">
        <v>75508</v>
      </c>
      <c r="D127" s="2">
        <v>6856.22</v>
      </c>
      <c r="E127" s="4">
        <v>18.2</v>
      </c>
    </row>
    <row r="128" spans="1:5" ht="15" thickBot="1" x14ac:dyDescent="0.35">
      <c r="A128" s="3" t="s">
        <v>99</v>
      </c>
      <c r="B128" s="2" t="s">
        <v>19</v>
      </c>
      <c r="C128" s="2">
        <v>77400</v>
      </c>
      <c r="D128" s="2">
        <v>7504.8</v>
      </c>
      <c r="E128" s="4">
        <v>68.819999999999993</v>
      </c>
    </row>
    <row r="129" spans="1:5" ht="15" thickBot="1" x14ac:dyDescent="0.35">
      <c r="A129" s="3" t="s">
        <v>116</v>
      </c>
      <c r="B129" s="2" t="s">
        <v>17</v>
      </c>
      <c r="C129" s="2">
        <v>68216</v>
      </c>
      <c r="D129" s="2">
        <v>9562.33</v>
      </c>
      <c r="E129" s="4">
        <v>63.59</v>
      </c>
    </row>
    <row r="130" spans="1:5" ht="15" thickBot="1" x14ac:dyDescent="0.35">
      <c r="A130" s="3" t="s">
        <v>201</v>
      </c>
      <c r="B130" s="2" t="s">
        <v>12</v>
      </c>
      <c r="C130" s="2">
        <v>58439</v>
      </c>
      <c r="D130" s="2">
        <v>5817.93</v>
      </c>
      <c r="E130" s="4">
        <v>63.77</v>
      </c>
    </row>
    <row r="131" spans="1:5" ht="15" thickBot="1" x14ac:dyDescent="0.35">
      <c r="A131" s="3" t="s">
        <v>192</v>
      </c>
      <c r="B131" s="2" t="s">
        <v>19</v>
      </c>
      <c r="C131" s="2">
        <v>43227</v>
      </c>
      <c r="D131" s="2">
        <v>5199.53</v>
      </c>
      <c r="E131" s="4">
        <v>44.09</v>
      </c>
    </row>
    <row r="132" spans="1:5" ht="15" thickBot="1" x14ac:dyDescent="0.35">
      <c r="A132" s="3" t="s">
        <v>112</v>
      </c>
      <c r="B132" s="2" t="s">
        <v>30</v>
      </c>
      <c r="C132" s="2">
        <v>43294</v>
      </c>
      <c r="D132" s="2">
        <v>3802.13</v>
      </c>
      <c r="E132" s="4">
        <v>45.84</v>
      </c>
    </row>
    <row r="133" spans="1:5" ht="15" thickBot="1" x14ac:dyDescent="0.35">
      <c r="A133" s="3" t="s">
        <v>157</v>
      </c>
      <c r="B133" s="2" t="s">
        <v>30</v>
      </c>
      <c r="C133" s="2">
        <v>76544</v>
      </c>
      <c r="D133" s="2">
        <v>8632.77</v>
      </c>
      <c r="E133" s="4">
        <v>12.87</v>
      </c>
    </row>
    <row r="134" spans="1:5" ht="15" thickBot="1" x14ac:dyDescent="0.35">
      <c r="A134" s="3" t="s">
        <v>43</v>
      </c>
      <c r="B134" s="2" t="s">
        <v>17</v>
      </c>
      <c r="C134" s="2">
        <v>41168</v>
      </c>
      <c r="D134" s="2">
        <v>8226.77</v>
      </c>
      <c r="E134" s="4">
        <v>42.55</v>
      </c>
    </row>
    <row r="135" spans="1:5" ht="15" thickBot="1" x14ac:dyDescent="0.35">
      <c r="A135" s="3" t="s">
        <v>44</v>
      </c>
      <c r="B135" s="2" t="s">
        <v>19</v>
      </c>
      <c r="C135" s="2">
        <v>16256</v>
      </c>
      <c r="D135" s="2">
        <v>2127.1799999999998</v>
      </c>
      <c r="E135" s="4">
        <v>38.94</v>
      </c>
    </row>
    <row r="136" spans="1:5" ht="15" thickBot="1" x14ac:dyDescent="0.35">
      <c r="A136" s="3" t="s">
        <v>86</v>
      </c>
      <c r="B136" s="2" t="s">
        <v>19</v>
      </c>
      <c r="C136" s="2">
        <v>56531</v>
      </c>
      <c r="D136" s="2">
        <v>8958.07</v>
      </c>
      <c r="E136" s="4">
        <v>83.44</v>
      </c>
    </row>
    <row r="137" spans="1:5" ht="15" thickBot="1" x14ac:dyDescent="0.35">
      <c r="A137" s="3" t="s">
        <v>191</v>
      </c>
      <c r="B137" s="2" t="s">
        <v>12</v>
      </c>
      <c r="C137" s="2">
        <v>43346</v>
      </c>
      <c r="D137" s="2">
        <v>5559.12</v>
      </c>
      <c r="E137" s="4">
        <v>39.4</v>
      </c>
    </row>
    <row r="138" spans="1:5" ht="15" thickBot="1" x14ac:dyDescent="0.35">
      <c r="A138" s="3" t="s">
        <v>32</v>
      </c>
      <c r="B138" s="2" t="s">
        <v>7</v>
      </c>
      <c r="C138" s="2">
        <v>10933</v>
      </c>
      <c r="D138" s="2">
        <v>9004.3700000000008</v>
      </c>
      <c r="E138" s="4">
        <v>26.84</v>
      </c>
    </row>
    <row r="139" spans="1:5" ht="15" thickBot="1" x14ac:dyDescent="0.35">
      <c r="A139" s="3" t="s">
        <v>179</v>
      </c>
      <c r="B139" s="2" t="s">
        <v>7</v>
      </c>
      <c r="C139" s="2">
        <v>94393</v>
      </c>
      <c r="D139" s="2">
        <v>6691.7</v>
      </c>
      <c r="E139" s="4">
        <v>74.790000000000006</v>
      </c>
    </row>
    <row r="140" spans="1:5" ht="15" thickBot="1" x14ac:dyDescent="0.35">
      <c r="A140" s="3" t="s">
        <v>39</v>
      </c>
      <c r="B140" s="2" t="s">
        <v>7</v>
      </c>
      <c r="C140" s="2">
        <v>80904</v>
      </c>
      <c r="D140" s="2">
        <v>3263.09</v>
      </c>
      <c r="E140" s="4">
        <v>58.37</v>
      </c>
    </row>
    <row r="141" spans="1:5" ht="15" thickBot="1" x14ac:dyDescent="0.35">
      <c r="A141" s="3" t="s">
        <v>162</v>
      </c>
      <c r="B141" s="2" t="s">
        <v>30</v>
      </c>
      <c r="C141" s="2">
        <v>94347</v>
      </c>
      <c r="D141" s="2">
        <v>2272.58</v>
      </c>
      <c r="E141" s="4">
        <v>34.75</v>
      </c>
    </row>
    <row r="142" spans="1:5" ht="15" thickBot="1" x14ac:dyDescent="0.35">
      <c r="A142" s="3" t="s">
        <v>213</v>
      </c>
      <c r="B142" s="2" t="s">
        <v>12</v>
      </c>
      <c r="C142" s="2">
        <v>58622</v>
      </c>
      <c r="D142" s="2">
        <v>7795.36</v>
      </c>
      <c r="E142" s="4">
        <v>59.81</v>
      </c>
    </row>
    <row r="143" spans="1:5" ht="15" thickBot="1" x14ac:dyDescent="0.35">
      <c r="A143" s="3" t="s">
        <v>195</v>
      </c>
      <c r="B143" s="2" t="s">
        <v>7</v>
      </c>
      <c r="C143" s="2">
        <v>68278</v>
      </c>
      <c r="D143" s="2">
        <v>3272.65</v>
      </c>
      <c r="E143" s="4">
        <v>30.47</v>
      </c>
    </row>
    <row r="144" spans="1:5" ht="15" thickBot="1" x14ac:dyDescent="0.35">
      <c r="A144" s="3" t="s">
        <v>128</v>
      </c>
      <c r="B144" s="2" t="s">
        <v>12</v>
      </c>
      <c r="C144" s="2">
        <v>29406</v>
      </c>
      <c r="D144" s="2">
        <v>5281.69</v>
      </c>
      <c r="E144" s="4">
        <v>27.01</v>
      </c>
    </row>
    <row r="145" spans="1:5" ht="15" thickBot="1" x14ac:dyDescent="0.35">
      <c r="A145" s="3" t="s">
        <v>104</v>
      </c>
      <c r="B145" s="2" t="s">
        <v>17</v>
      </c>
      <c r="C145" s="2">
        <v>16868</v>
      </c>
      <c r="D145" s="2">
        <v>1378.01</v>
      </c>
      <c r="E145" s="4">
        <v>47.52</v>
      </c>
    </row>
    <row r="146" spans="1:5" ht="15" thickBot="1" x14ac:dyDescent="0.35">
      <c r="A146" s="3" t="s">
        <v>118</v>
      </c>
      <c r="B146" s="2" t="s">
        <v>30</v>
      </c>
      <c r="C146" s="2">
        <v>68492</v>
      </c>
      <c r="D146" s="2">
        <v>3533.88</v>
      </c>
      <c r="E146" s="4">
        <v>52.99</v>
      </c>
    </row>
    <row r="147" spans="1:5" ht="15" thickBot="1" x14ac:dyDescent="0.35">
      <c r="A147" s="3" t="s">
        <v>207</v>
      </c>
      <c r="B147" s="2" t="s">
        <v>17</v>
      </c>
      <c r="C147" s="2">
        <v>99115</v>
      </c>
      <c r="D147" s="2">
        <v>827.26</v>
      </c>
      <c r="E147" s="4">
        <v>28.88</v>
      </c>
    </row>
    <row r="148" spans="1:5" ht="15" thickBot="1" x14ac:dyDescent="0.35">
      <c r="A148" s="3" t="s">
        <v>193</v>
      </c>
      <c r="B148" s="2" t="s">
        <v>12</v>
      </c>
      <c r="C148" s="2">
        <v>13333</v>
      </c>
      <c r="D148" s="2">
        <v>6102.15</v>
      </c>
      <c r="E148" s="4">
        <v>17.670000000000002</v>
      </c>
    </row>
    <row r="149" spans="1:5" ht="15" thickBot="1" x14ac:dyDescent="0.35">
      <c r="A149" s="3" t="s">
        <v>124</v>
      </c>
      <c r="B149" s="2" t="s">
        <v>12</v>
      </c>
      <c r="C149" s="2">
        <v>47491</v>
      </c>
      <c r="D149" s="2">
        <v>5781.05</v>
      </c>
      <c r="E149" s="4">
        <v>92.18</v>
      </c>
    </row>
    <row r="150" spans="1:5" ht="15" thickBot="1" x14ac:dyDescent="0.35">
      <c r="A150" s="3" t="s">
        <v>151</v>
      </c>
      <c r="B150" s="2" t="s">
        <v>12</v>
      </c>
      <c r="C150" s="2">
        <v>61207</v>
      </c>
      <c r="D150" s="2">
        <v>6922.33</v>
      </c>
      <c r="E150" s="4">
        <v>9.1999999999999993</v>
      </c>
    </row>
    <row r="151" spans="1:5" ht="15" thickBot="1" x14ac:dyDescent="0.35">
      <c r="A151" s="3" t="s">
        <v>200</v>
      </c>
      <c r="B151" s="2" t="s">
        <v>30</v>
      </c>
      <c r="C151" s="2">
        <v>46863</v>
      </c>
      <c r="D151" s="2">
        <v>6762.98</v>
      </c>
      <c r="E151" s="4">
        <v>23.45</v>
      </c>
    </row>
    <row r="152" spans="1:5" ht="15" thickBot="1" x14ac:dyDescent="0.35">
      <c r="A152" s="3" t="s">
        <v>156</v>
      </c>
      <c r="B152" s="2" t="s">
        <v>17</v>
      </c>
      <c r="C152" s="2">
        <v>81057</v>
      </c>
      <c r="D152" s="2">
        <v>675.41</v>
      </c>
      <c r="E152" s="4">
        <v>55.44</v>
      </c>
    </row>
    <row r="153" spans="1:5" ht="15" thickBot="1" x14ac:dyDescent="0.35">
      <c r="A153" s="3" t="s">
        <v>113</v>
      </c>
      <c r="B153" s="2" t="s">
        <v>30</v>
      </c>
      <c r="C153" s="2">
        <v>90679</v>
      </c>
      <c r="D153" s="2">
        <v>7266.82</v>
      </c>
      <c r="E153" s="4">
        <v>23.3</v>
      </c>
    </row>
    <row r="154" spans="1:5" ht="15" thickBot="1" x14ac:dyDescent="0.35">
      <c r="A154" s="3" t="s">
        <v>25</v>
      </c>
      <c r="B154" s="2" t="s">
        <v>19</v>
      </c>
      <c r="C154" s="2">
        <v>95306</v>
      </c>
      <c r="D154" s="2">
        <v>9037.76</v>
      </c>
      <c r="E154" s="4">
        <v>13.35</v>
      </c>
    </row>
    <row r="155" spans="1:5" ht="15" thickBot="1" x14ac:dyDescent="0.35">
      <c r="A155" s="3" t="s">
        <v>177</v>
      </c>
      <c r="B155" s="2" t="s">
        <v>7</v>
      </c>
      <c r="C155" s="2">
        <v>17097</v>
      </c>
      <c r="D155" s="2">
        <v>9061.7800000000007</v>
      </c>
      <c r="E155" s="4">
        <v>95.92</v>
      </c>
    </row>
    <row r="156" spans="1:5" ht="15" thickBot="1" x14ac:dyDescent="0.35">
      <c r="A156" s="3" t="s">
        <v>142</v>
      </c>
      <c r="B156" s="2" t="s">
        <v>17</v>
      </c>
      <c r="C156" s="2">
        <v>75736</v>
      </c>
      <c r="D156" s="2">
        <v>6287.07</v>
      </c>
      <c r="E156" s="4">
        <v>63.11</v>
      </c>
    </row>
    <row r="157" spans="1:5" ht="15" thickBot="1" x14ac:dyDescent="0.35">
      <c r="A157" s="3" t="s">
        <v>140</v>
      </c>
      <c r="B157" s="2" t="s">
        <v>17</v>
      </c>
      <c r="C157" s="2">
        <v>88308</v>
      </c>
      <c r="D157" s="2">
        <v>7802.07</v>
      </c>
      <c r="E157" s="4">
        <v>36.130000000000003</v>
      </c>
    </row>
    <row r="158" spans="1:5" ht="15" thickBot="1" x14ac:dyDescent="0.35">
      <c r="A158" s="3" t="s">
        <v>161</v>
      </c>
      <c r="B158" s="2" t="s">
        <v>7</v>
      </c>
      <c r="C158" s="2">
        <v>15788</v>
      </c>
      <c r="D158" s="2">
        <v>1824.14</v>
      </c>
      <c r="E158" s="4">
        <v>52.78</v>
      </c>
    </row>
    <row r="159" spans="1:5" ht="15" thickBot="1" x14ac:dyDescent="0.35">
      <c r="A159" s="3" t="s">
        <v>21</v>
      </c>
      <c r="B159" s="2" t="s">
        <v>19</v>
      </c>
      <c r="C159" s="2">
        <v>61157</v>
      </c>
      <c r="D159" s="2">
        <v>7331.54</v>
      </c>
      <c r="E159" s="4">
        <v>55.52</v>
      </c>
    </row>
    <row r="160" spans="1:5" ht="15" thickBot="1" x14ac:dyDescent="0.35">
      <c r="A160" s="3" t="s">
        <v>155</v>
      </c>
      <c r="B160" s="2" t="s">
        <v>7</v>
      </c>
      <c r="C160" s="2">
        <v>72224</v>
      </c>
      <c r="D160" s="2">
        <v>1613.32</v>
      </c>
      <c r="E160" s="4">
        <v>39.21</v>
      </c>
    </row>
    <row r="161" spans="1:5" ht="15" thickBot="1" x14ac:dyDescent="0.35">
      <c r="A161" s="3" t="s">
        <v>204</v>
      </c>
      <c r="B161" s="2" t="s">
        <v>30</v>
      </c>
      <c r="C161" s="2">
        <v>36423</v>
      </c>
      <c r="D161" s="2">
        <v>589.96</v>
      </c>
      <c r="E161" s="4">
        <v>30.9</v>
      </c>
    </row>
    <row r="162" spans="1:5" ht="15" thickBot="1" x14ac:dyDescent="0.35">
      <c r="A162" s="3" t="s">
        <v>89</v>
      </c>
      <c r="B162" s="2" t="s">
        <v>17</v>
      </c>
      <c r="C162" s="2">
        <v>36171</v>
      </c>
      <c r="D162" s="2">
        <v>6864.38</v>
      </c>
      <c r="E162" s="4">
        <v>37.03</v>
      </c>
    </row>
    <row r="163" spans="1:5" ht="15" thickBot="1" x14ac:dyDescent="0.35">
      <c r="A163" s="3" t="s">
        <v>74</v>
      </c>
      <c r="B163" s="2" t="s">
        <v>19</v>
      </c>
      <c r="C163" s="2">
        <v>18175</v>
      </c>
      <c r="D163" s="2">
        <v>8349.49</v>
      </c>
      <c r="E163" s="4">
        <v>39.97</v>
      </c>
    </row>
    <row r="164" spans="1:5" ht="15" thickBot="1" x14ac:dyDescent="0.35">
      <c r="A164" s="3" t="s">
        <v>220</v>
      </c>
      <c r="B164" s="2" t="s">
        <v>12</v>
      </c>
      <c r="C164" s="2">
        <v>97040</v>
      </c>
      <c r="D164" s="2">
        <v>5727.14</v>
      </c>
      <c r="E164" s="4">
        <v>38.19</v>
      </c>
    </row>
    <row r="165" spans="1:5" ht="15" thickBot="1" x14ac:dyDescent="0.35">
      <c r="A165" s="3" t="s">
        <v>145</v>
      </c>
      <c r="B165" s="2" t="s">
        <v>7</v>
      </c>
      <c r="C165" s="2">
        <v>60710</v>
      </c>
      <c r="D165" s="2">
        <v>2726.26</v>
      </c>
      <c r="E165" s="4">
        <v>83.02</v>
      </c>
    </row>
    <row r="166" spans="1:5" ht="15" thickBot="1" x14ac:dyDescent="0.35">
      <c r="A166" s="3" t="s">
        <v>214</v>
      </c>
      <c r="B166" s="2" t="s">
        <v>30</v>
      </c>
      <c r="C166" s="2">
        <v>79330</v>
      </c>
      <c r="D166" s="2">
        <v>6075.23</v>
      </c>
      <c r="E166" s="4">
        <v>83.97</v>
      </c>
    </row>
    <row r="167" spans="1:5" ht="15" thickBot="1" x14ac:dyDescent="0.35">
      <c r="A167" s="3" t="s">
        <v>40</v>
      </c>
      <c r="B167" s="2" t="s">
        <v>19</v>
      </c>
      <c r="C167" s="2">
        <v>96474</v>
      </c>
      <c r="D167" s="2">
        <v>7574.39</v>
      </c>
      <c r="E167" s="4">
        <v>95.54</v>
      </c>
    </row>
    <row r="168" spans="1:5" ht="15" thickBot="1" x14ac:dyDescent="0.35">
      <c r="A168" s="3" t="s">
        <v>131</v>
      </c>
      <c r="B168" s="2" t="s">
        <v>17</v>
      </c>
      <c r="C168" s="2">
        <v>94128</v>
      </c>
      <c r="D168" s="2">
        <v>8117.82</v>
      </c>
      <c r="E168" s="4">
        <v>73.83</v>
      </c>
    </row>
    <row r="169" spans="1:5" ht="15" thickBot="1" x14ac:dyDescent="0.35">
      <c r="A169" s="3" t="s">
        <v>147</v>
      </c>
      <c r="B169" s="2" t="s">
        <v>17</v>
      </c>
      <c r="C169" s="2">
        <v>24095</v>
      </c>
      <c r="D169" s="2">
        <v>3167.52</v>
      </c>
      <c r="E169" s="4">
        <v>31.02</v>
      </c>
    </row>
    <row r="170" spans="1:5" ht="15" thickBot="1" x14ac:dyDescent="0.35">
      <c r="A170" s="3" t="s">
        <v>148</v>
      </c>
      <c r="B170" s="2" t="s">
        <v>17</v>
      </c>
      <c r="C170" s="2">
        <v>44994</v>
      </c>
      <c r="D170" s="2">
        <v>7305.59</v>
      </c>
      <c r="E170" s="4">
        <v>91.53</v>
      </c>
    </row>
    <row r="171" spans="1:5" ht="15" thickBot="1" x14ac:dyDescent="0.35">
      <c r="A171" s="3" t="s">
        <v>171</v>
      </c>
      <c r="B171" s="2" t="s">
        <v>17</v>
      </c>
      <c r="C171" s="2">
        <v>24502</v>
      </c>
      <c r="D171" s="2">
        <v>7466.86</v>
      </c>
      <c r="E171" s="4">
        <v>88.83</v>
      </c>
    </row>
    <row r="172" spans="1:5" ht="15" thickBot="1" x14ac:dyDescent="0.35">
      <c r="A172" s="3" t="s">
        <v>150</v>
      </c>
      <c r="B172" s="2" t="s">
        <v>30</v>
      </c>
      <c r="C172" s="2">
        <v>98356</v>
      </c>
      <c r="D172" s="2">
        <v>6968.69</v>
      </c>
      <c r="E172" s="4">
        <v>81.72</v>
      </c>
    </row>
    <row r="173" spans="1:5" ht="15" thickBot="1" x14ac:dyDescent="0.35">
      <c r="A173" s="3" t="s">
        <v>66</v>
      </c>
      <c r="B173" s="2" t="s">
        <v>30</v>
      </c>
      <c r="C173" s="2">
        <v>98396</v>
      </c>
      <c r="D173" s="2">
        <v>5174.07</v>
      </c>
      <c r="E173" s="4">
        <v>63.38</v>
      </c>
    </row>
    <row r="174" spans="1:5" ht="15" thickBot="1" x14ac:dyDescent="0.35">
      <c r="A174" s="3" t="s">
        <v>55</v>
      </c>
      <c r="B174" s="2" t="s">
        <v>12</v>
      </c>
      <c r="C174" s="2">
        <v>38181</v>
      </c>
      <c r="D174" s="2">
        <v>691.84</v>
      </c>
      <c r="E174" s="4">
        <v>33.53</v>
      </c>
    </row>
    <row r="175" spans="1:5" ht="15" thickBot="1" x14ac:dyDescent="0.35">
      <c r="A175" s="3" t="s">
        <v>122</v>
      </c>
      <c r="B175" s="2" t="s">
        <v>19</v>
      </c>
      <c r="C175" s="2">
        <v>95962</v>
      </c>
      <c r="D175" s="2">
        <v>524.72</v>
      </c>
      <c r="E175" s="4">
        <v>49.55</v>
      </c>
    </row>
    <row r="176" spans="1:5" ht="15" thickBot="1" x14ac:dyDescent="0.35">
      <c r="A176" s="3" t="s">
        <v>52</v>
      </c>
      <c r="B176" s="2" t="s">
        <v>19</v>
      </c>
      <c r="C176" s="2">
        <v>94949</v>
      </c>
      <c r="D176" s="2">
        <v>9714.76</v>
      </c>
      <c r="E176" s="4">
        <v>64.900000000000006</v>
      </c>
    </row>
    <row r="177" spans="1:5" ht="15" thickBot="1" x14ac:dyDescent="0.35">
      <c r="A177" s="3" t="s">
        <v>92</v>
      </c>
      <c r="B177" s="2" t="s">
        <v>30</v>
      </c>
      <c r="C177" s="2">
        <v>18726</v>
      </c>
      <c r="D177" s="2">
        <v>5099.54</v>
      </c>
      <c r="E177" s="4">
        <v>71.05</v>
      </c>
    </row>
    <row r="178" spans="1:5" ht="15" thickBot="1" x14ac:dyDescent="0.35">
      <c r="A178" s="3" t="s">
        <v>163</v>
      </c>
      <c r="B178" s="2" t="s">
        <v>19</v>
      </c>
      <c r="C178" s="2">
        <v>87482</v>
      </c>
      <c r="D178" s="2">
        <v>2231.7399999999998</v>
      </c>
      <c r="E178" s="4">
        <v>45.43</v>
      </c>
    </row>
    <row r="179" spans="1:5" ht="15" thickBot="1" x14ac:dyDescent="0.35">
      <c r="A179" s="3" t="s">
        <v>187</v>
      </c>
      <c r="B179" s="2" t="s">
        <v>19</v>
      </c>
      <c r="C179" s="2">
        <v>94861</v>
      </c>
      <c r="D179" s="2">
        <v>8363.57</v>
      </c>
      <c r="E179" s="4">
        <v>90.29</v>
      </c>
    </row>
    <row r="180" spans="1:5" ht="15" thickBot="1" x14ac:dyDescent="0.35">
      <c r="A180" s="3" t="s">
        <v>219</v>
      </c>
      <c r="B180" s="2" t="s">
        <v>12</v>
      </c>
      <c r="C180" s="2">
        <v>84524</v>
      </c>
      <c r="D180" s="2">
        <v>9350.11</v>
      </c>
      <c r="E180" s="4">
        <v>27.53</v>
      </c>
    </row>
    <row r="181" spans="1:5" ht="15" thickBot="1" x14ac:dyDescent="0.35">
      <c r="A181" s="3" t="s">
        <v>216</v>
      </c>
      <c r="B181" s="2" t="s">
        <v>17</v>
      </c>
      <c r="C181" s="2">
        <v>13302</v>
      </c>
      <c r="D181" s="2">
        <v>821.51</v>
      </c>
      <c r="E181" s="4">
        <v>69.599999999999994</v>
      </c>
    </row>
    <row r="182" spans="1:5" ht="15" thickBot="1" x14ac:dyDescent="0.35">
      <c r="A182" s="3" t="s">
        <v>70</v>
      </c>
      <c r="B182" s="2" t="s">
        <v>19</v>
      </c>
      <c r="C182" s="2">
        <v>42485</v>
      </c>
      <c r="D182" s="2">
        <v>4755.75</v>
      </c>
      <c r="E182" s="4">
        <v>10.19</v>
      </c>
    </row>
    <row r="183" spans="1:5" ht="15" thickBot="1" x14ac:dyDescent="0.35">
      <c r="A183" s="3" t="s">
        <v>57</v>
      </c>
      <c r="B183" s="2" t="s">
        <v>19</v>
      </c>
      <c r="C183" s="2">
        <v>41027</v>
      </c>
      <c r="D183" s="2">
        <v>7285.85</v>
      </c>
      <c r="E183" s="4">
        <v>59.87</v>
      </c>
    </row>
    <row r="184" spans="1:5" ht="15" thickBot="1" x14ac:dyDescent="0.35">
      <c r="A184" s="3" t="s">
        <v>132</v>
      </c>
      <c r="B184" s="2" t="s">
        <v>19</v>
      </c>
      <c r="C184" s="2">
        <v>29860</v>
      </c>
      <c r="D184" s="2">
        <v>3956.23</v>
      </c>
      <c r="E184" s="4">
        <v>57.5</v>
      </c>
    </row>
    <row r="185" spans="1:5" ht="15" thickBot="1" x14ac:dyDescent="0.35">
      <c r="A185" s="3" t="s">
        <v>108</v>
      </c>
      <c r="B185" s="2" t="s">
        <v>7</v>
      </c>
      <c r="C185" s="2">
        <v>22201</v>
      </c>
      <c r="D185" s="2">
        <v>2853.66</v>
      </c>
      <c r="E185" s="4">
        <v>71.94</v>
      </c>
    </row>
    <row r="186" spans="1:5" ht="15" thickBot="1" x14ac:dyDescent="0.35">
      <c r="A186" s="3" t="s">
        <v>172</v>
      </c>
      <c r="B186" s="2" t="s">
        <v>7</v>
      </c>
      <c r="C186" s="2">
        <v>68820</v>
      </c>
      <c r="D186" s="2">
        <v>9612.25</v>
      </c>
      <c r="E186" s="4">
        <v>83.51</v>
      </c>
    </row>
    <row r="187" spans="1:5" ht="15" thickBot="1" x14ac:dyDescent="0.35">
      <c r="A187" s="3" t="s">
        <v>77</v>
      </c>
      <c r="B187" s="2" t="s">
        <v>30</v>
      </c>
      <c r="C187" s="2">
        <v>61942</v>
      </c>
      <c r="D187" s="2">
        <v>4891.32</v>
      </c>
      <c r="E187" s="4">
        <v>91.59</v>
      </c>
    </row>
    <row r="188" spans="1:5" ht="15" thickBot="1" x14ac:dyDescent="0.35">
      <c r="A188" s="3" t="s">
        <v>199</v>
      </c>
      <c r="B188" s="2" t="s">
        <v>17</v>
      </c>
      <c r="C188" s="2">
        <v>77317</v>
      </c>
      <c r="D188" s="2">
        <v>4862.95</v>
      </c>
      <c r="E188" s="4">
        <v>89.78</v>
      </c>
    </row>
    <row r="189" spans="1:5" ht="15" thickBot="1" x14ac:dyDescent="0.35">
      <c r="A189" s="3" t="s">
        <v>217</v>
      </c>
      <c r="B189" s="2" t="s">
        <v>19</v>
      </c>
      <c r="C189" s="2">
        <v>80824</v>
      </c>
      <c r="D189" s="2">
        <v>2858.92</v>
      </c>
      <c r="E189" s="4">
        <v>13.97</v>
      </c>
    </row>
    <row r="190" spans="1:5" ht="15" thickBot="1" x14ac:dyDescent="0.35">
      <c r="A190" s="3" t="s">
        <v>212</v>
      </c>
      <c r="B190" s="2" t="s">
        <v>7</v>
      </c>
      <c r="C190" s="2">
        <v>67820</v>
      </c>
      <c r="D190" s="2">
        <v>8177.95</v>
      </c>
      <c r="E190" s="4">
        <v>40.69</v>
      </c>
    </row>
    <row r="191" spans="1:5" ht="15" thickBot="1" x14ac:dyDescent="0.35">
      <c r="A191" s="3" t="s">
        <v>67</v>
      </c>
      <c r="B191" s="2" t="s">
        <v>7</v>
      </c>
      <c r="C191" s="2">
        <v>70582</v>
      </c>
      <c r="D191" s="2">
        <v>7517.59</v>
      </c>
      <c r="E191" s="4">
        <v>95.71</v>
      </c>
    </row>
    <row r="192" spans="1:5" ht="15" thickBot="1" x14ac:dyDescent="0.35">
      <c r="A192" s="3" t="s">
        <v>78</v>
      </c>
      <c r="B192" s="2" t="s">
        <v>7</v>
      </c>
      <c r="C192" s="2">
        <v>86557</v>
      </c>
      <c r="D192" s="2">
        <v>8631.2800000000007</v>
      </c>
      <c r="E192" s="4">
        <v>69.53</v>
      </c>
    </row>
    <row r="193" spans="1:5" ht="15" thickBot="1" x14ac:dyDescent="0.35">
      <c r="A193" s="3" t="s">
        <v>152</v>
      </c>
      <c r="B193" s="2" t="s">
        <v>30</v>
      </c>
      <c r="C193" s="2">
        <v>21914</v>
      </c>
      <c r="D193" s="2">
        <v>5897.27</v>
      </c>
      <c r="E193" s="4">
        <v>49.41</v>
      </c>
    </row>
    <row r="194" spans="1:5" ht="15" thickBot="1" x14ac:dyDescent="0.35">
      <c r="A194" s="3" t="s">
        <v>87</v>
      </c>
      <c r="B194" s="2" t="s">
        <v>12</v>
      </c>
      <c r="C194" s="2">
        <v>15333</v>
      </c>
      <c r="D194" s="2">
        <v>2570.54</v>
      </c>
      <c r="E194" s="4">
        <v>41.07</v>
      </c>
    </row>
    <row r="195" spans="1:5" ht="15" thickBot="1" x14ac:dyDescent="0.35">
      <c r="A195" s="3" t="s">
        <v>35</v>
      </c>
      <c r="B195" s="2" t="s">
        <v>19</v>
      </c>
      <c r="C195" s="2">
        <v>42382</v>
      </c>
      <c r="D195" s="2">
        <v>5116.6899999999996</v>
      </c>
      <c r="E195" s="4">
        <v>80.42</v>
      </c>
    </row>
    <row r="196" spans="1:5" ht="15" thickBot="1" x14ac:dyDescent="0.35">
      <c r="A196" s="3" t="s">
        <v>154</v>
      </c>
      <c r="B196" s="2" t="s">
        <v>12</v>
      </c>
      <c r="C196" s="2">
        <v>87012</v>
      </c>
      <c r="D196" s="2">
        <v>7478.13</v>
      </c>
      <c r="E196" s="4">
        <v>27.22</v>
      </c>
    </row>
    <row r="197" spans="1:5" ht="15" thickBot="1" x14ac:dyDescent="0.35">
      <c r="A197" s="3" t="s">
        <v>84</v>
      </c>
      <c r="B197" s="2" t="s">
        <v>30</v>
      </c>
      <c r="C197" s="2">
        <v>85444</v>
      </c>
      <c r="D197" s="2">
        <v>852.57</v>
      </c>
      <c r="E197" s="4">
        <v>72.650000000000006</v>
      </c>
    </row>
    <row r="198" spans="1:5" ht="15" thickBot="1" x14ac:dyDescent="0.35">
      <c r="A198" s="3" t="s">
        <v>76</v>
      </c>
      <c r="B198" s="2" t="s">
        <v>17</v>
      </c>
      <c r="C198" s="2">
        <v>59617</v>
      </c>
      <c r="D198" s="2">
        <v>5000.95</v>
      </c>
      <c r="E198" s="4">
        <v>80.36</v>
      </c>
    </row>
    <row r="199" spans="1:5" ht="15" thickBot="1" x14ac:dyDescent="0.35">
      <c r="A199" s="3" t="s">
        <v>50</v>
      </c>
      <c r="B199" s="2" t="s">
        <v>19</v>
      </c>
      <c r="C199" s="2">
        <v>40577</v>
      </c>
      <c r="D199" s="2">
        <v>4280.82</v>
      </c>
      <c r="E199" s="4">
        <v>79.88</v>
      </c>
    </row>
    <row r="200" spans="1:5" ht="15" thickBot="1" x14ac:dyDescent="0.35">
      <c r="A200" s="3" t="s">
        <v>117</v>
      </c>
      <c r="B200" s="2" t="s">
        <v>7</v>
      </c>
      <c r="C200" s="2">
        <v>89321</v>
      </c>
      <c r="D200" s="2">
        <v>9836.34</v>
      </c>
      <c r="E200" s="4">
        <v>16.989999999999998</v>
      </c>
    </row>
    <row r="201" spans="1:5" x14ac:dyDescent="0.3">
      <c r="A201" s="5" t="s">
        <v>182</v>
      </c>
      <c r="B201" s="6" t="s">
        <v>12</v>
      </c>
      <c r="C201" s="6">
        <v>21081</v>
      </c>
      <c r="D201" s="6">
        <v>9001.77</v>
      </c>
      <c r="E201" s="7">
        <v>49.27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D5071-2578-4594-A7BB-3F82847595D5}">
  <dimension ref="A1:C101"/>
  <sheetViews>
    <sheetView topLeftCell="A91" workbookViewId="0">
      <selection sqref="A1:C101"/>
    </sheetView>
  </sheetViews>
  <sheetFormatPr defaultRowHeight="14.4" x14ac:dyDescent="0.3"/>
  <cols>
    <col min="1" max="1" width="13.33203125" bestFit="1" customWidth="1"/>
    <col min="2" max="2" width="38" bestFit="1" customWidth="1"/>
    <col min="3" max="3" width="24.33203125" bestFit="1" customWidth="1"/>
  </cols>
  <sheetData>
    <row r="1" spans="1:3" ht="15" thickBot="1" x14ac:dyDescent="0.35">
      <c r="A1" s="17" t="s">
        <v>224</v>
      </c>
      <c r="B1" s="18" t="s">
        <v>225</v>
      </c>
      <c r="C1" s="19" t="s">
        <v>226</v>
      </c>
    </row>
    <row r="2" spans="1:3" ht="29.4" thickBot="1" x14ac:dyDescent="0.35">
      <c r="A2" s="12" t="s">
        <v>227</v>
      </c>
      <c r="B2" s="11">
        <v>959.2</v>
      </c>
      <c r="C2" s="13" t="s">
        <v>228</v>
      </c>
    </row>
    <row r="3" spans="1:3" ht="43.8" thickBot="1" x14ac:dyDescent="0.35">
      <c r="A3" s="12" t="s">
        <v>229</v>
      </c>
      <c r="B3" s="11">
        <v>231.68</v>
      </c>
      <c r="C3" s="13" t="s">
        <v>230</v>
      </c>
    </row>
    <row r="4" spans="1:3" ht="43.8" thickBot="1" x14ac:dyDescent="0.35">
      <c r="A4" s="12" t="s">
        <v>231</v>
      </c>
      <c r="B4" s="11">
        <v>714.03</v>
      </c>
      <c r="C4" s="13" t="s">
        <v>232</v>
      </c>
    </row>
    <row r="5" spans="1:3" ht="43.8" thickBot="1" x14ac:dyDescent="0.35">
      <c r="A5" s="12" t="s">
        <v>233</v>
      </c>
      <c r="B5" s="11">
        <v>571.88</v>
      </c>
      <c r="C5" s="13" t="s">
        <v>234</v>
      </c>
    </row>
    <row r="6" spans="1:3" ht="29.4" thickBot="1" x14ac:dyDescent="0.35">
      <c r="A6" s="12" t="s">
        <v>235</v>
      </c>
      <c r="B6" s="11">
        <v>114.57</v>
      </c>
      <c r="C6" s="13" t="s">
        <v>236</v>
      </c>
    </row>
    <row r="7" spans="1:3" ht="43.8" thickBot="1" x14ac:dyDescent="0.35">
      <c r="A7" s="12" t="s">
        <v>237</v>
      </c>
      <c r="B7" s="11">
        <v>790.74</v>
      </c>
      <c r="C7" s="13" t="s">
        <v>238</v>
      </c>
    </row>
    <row r="8" spans="1:3" ht="43.8" thickBot="1" x14ac:dyDescent="0.35">
      <c r="A8" s="12" t="s">
        <v>239</v>
      </c>
      <c r="B8" s="11">
        <v>847.51</v>
      </c>
      <c r="C8" s="13" t="s">
        <v>240</v>
      </c>
    </row>
    <row r="9" spans="1:3" ht="43.8" thickBot="1" x14ac:dyDescent="0.35">
      <c r="A9" s="12" t="s">
        <v>241</v>
      </c>
      <c r="B9" s="11">
        <v>610.79999999999995</v>
      </c>
      <c r="C9" s="13" t="s">
        <v>242</v>
      </c>
    </row>
    <row r="10" spans="1:3" ht="43.8" thickBot="1" x14ac:dyDescent="0.35">
      <c r="A10" s="12" t="s">
        <v>243</v>
      </c>
      <c r="B10" s="11">
        <v>390.06</v>
      </c>
      <c r="C10" s="13" t="s">
        <v>244</v>
      </c>
    </row>
    <row r="11" spans="1:3" ht="43.8" thickBot="1" x14ac:dyDescent="0.35">
      <c r="A11" s="12" t="s">
        <v>245</v>
      </c>
      <c r="B11" s="11">
        <v>932.3</v>
      </c>
      <c r="C11" s="13" t="s">
        <v>246</v>
      </c>
    </row>
    <row r="12" spans="1:3" ht="43.8" thickBot="1" x14ac:dyDescent="0.35">
      <c r="A12" s="12" t="s">
        <v>247</v>
      </c>
      <c r="B12" s="11">
        <v>795.74</v>
      </c>
      <c r="C12" s="13" t="s">
        <v>248</v>
      </c>
    </row>
    <row r="13" spans="1:3" ht="29.4" thickBot="1" x14ac:dyDescent="0.35">
      <c r="A13" s="12" t="s">
        <v>249</v>
      </c>
      <c r="B13" s="11">
        <v>986.62</v>
      </c>
      <c r="C13" s="13" t="s">
        <v>250</v>
      </c>
    </row>
    <row r="14" spans="1:3" ht="29.4" thickBot="1" x14ac:dyDescent="0.35">
      <c r="A14" s="12" t="s">
        <v>251</v>
      </c>
      <c r="B14" s="11">
        <v>467.3</v>
      </c>
      <c r="C14" s="13" t="s">
        <v>252</v>
      </c>
    </row>
    <row r="15" spans="1:3" ht="29.4" thickBot="1" x14ac:dyDescent="0.35">
      <c r="A15" s="12" t="s">
        <v>253</v>
      </c>
      <c r="B15" s="11">
        <v>807.86</v>
      </c>
      <c r="C15" s="13" t="s">
        <v>254</v>
      </c>
    </row>
    <row r="16" spans="1:3" ht="43.8" thickBot="1" x14ac:dyDescent="0.35">
      <c r="A16" s="12" t="s">
        <v>255</v>
      </c>
      <c r="B16" s="11">
        <v>264.23</v>
      </c>
      <c r="C16" s="13" t="s">
        <v>256</v>
      </c>
    </row>
    <row r="17" spans="1:3" ht="43.8" thickBot="1" x14ac:dyDescent="0.35">
      <c r="A17" s="12" t="s">
        <v>257</v>
      </c>
      <c r="B17" s="11">
        <v>724.63</v>
      </c>
      <c r="C17" s="13" t="s">
        <v>258</v>
      </c>
    </row>
    <row r="18" spans="1:3" ht="29.4" thickBot="1" x14ac:dyDescent="0.35">
      <c r="A18" s="12" t="s">
        <v>259</v>
      </c>
      <c r="B18" s="11">
        <v>341.24</v>
      </c>
      <c r="C18" s="13" t="s">
        <v>260</v>
      </c>
    </row>
    <row r="19" spans="1:3" ht="43.8" thickBot="1" x14ac:dyDescent="0.35">
      <c r="A19" s="12" t="s">
        <v>261</v>
      </c>
      <c r="B19" s="11">
        <v>763.97</v>
      </c>
      <c r="C19" s="13" t="s">
        <v>262</v>
      </c>
    </row>
    <row r="20" spans="1:3" ht="43.8" thickBot="1" x14ac:dyDescent="0.35">
      <c r="A20" s="12" t="s">
        <v>263</v>
      </c>
      <c r="B20" s="11">
        <v>459.56</v>
      </c>
      <c r="C20" s="13" t="s">
        <v>264</v>
      </c>
    </row>
    <row r="21" spans="1:3" ht="29.4" thickBot="1" x14ac:dyDescent="0.35">
      <c r="A21" s="12" t="s">
        <v>265</v>
      </c>
      <c r="B21" s="11">
        <v>181.54</v>
      </c>
      <c r="C21" s="13" t="s">
        <v>266</v>
      </c>
    </row>
    <row r="22" spans="1:3" ht="43.8" thickBot="1" x14ac:dyDescent="0.35">
      <c r="A22" s="12" t="s">
        <v>267</v>
      </c>
      <c r="B22" s="11">
        <v>553.44000000000005</v>
      </c>
      <c r="C22" s="13" t="s">
        <v>268</v>
      </c>
    </row>
    <row r="23" spans="1:3" ht="29.4" thickBot="1" x14ac:dyDescent="0.35">
      <c r="A23" s="12" t="s">
        <v>269</v>
      </c>
      <c r="B23" s="11">
        <v>275.77</v>
      </c>
      <c r="C23" s="13" t="s">
        <v>270</v>
      </c>
    </row>
    <row r="24" spans="1:3" ht="43.8" thickBot="1" x14ac:dyDescent="0.35">
      <c r="A24" s="12" t="s">
        <v>271</v>
      </c>
      <c r="B24" s="11">
        <v>991.03</v>
      </c>
      <c r="C24" s="13" t="s">
        <v>272</v>
      </c>
    </row>
    <row r="25" spans="1:3" ht="43.8" thickBot="1" x14ac:dyDescent="0.35">
      <c r="A25" s="12" t="s">
        <v>273</v>
      </c>
      <c r="B25" s="11">
        <v>818.45</v>
      </c>
      <c r="C25" s="13" t="s">
        <v>274</v>
      </c>
    </row>
    <row r="26" spans="1:3" ht="43.8" thickBot="1" x14ac:dyDescent="0.35">
      <c r="A26" s="12" t="s">
        <v>275</v>
      </c>
      <c r="B26" s="11">
        <v>289.77</v>
      </c>
      <c r="C26" s="13" t="s">
        <v>276</v>
      </c>
    </row>
    <row r="27" spans="1:3" ht="29.4" thickBot="1" x14ac:dyDescent="0.35">
      <c r="A27" s="12" t="s">
        <v>277</v>
      </c>
      <c r="B27" s="11">
        <v>557.72</v>
      </c>
      <c r="C27" s="13" t="s">
        <v>278</v>
      </c>
    </row>
    <row r="28" spans="1:3" ht="29.4" thickBot="1" x14ac:dyDescent="0.35">
      <c r="A28" s="12" t="s">
        <v>279</v>
      </c>
      <c r="B28" s="11">
        <v>714.81</v>
      </c>
      <c r="C28" s="13" t="s">
        <v>280</v>
      </c>
    </row>
    <row r="29" spans="1:3" ht="29.4" thickBot="1" x14ac:dyDescent="0.35">
      <c r="A29" s="12" t="s">
        <v>281</v>
      </c>
      <c r="B29" s="11">
        <v>318.55</v>
      </c>
      <c r="C29" s="13" t="s">
        <v>282</v>
      </c>
    </row>
    <row r="30" spans="1:3" ht="29.4" thickBot="1" x14ac:dyDescent="0.35">
      <c r="A30" s="12" t="s">
        <v>283</v>
      </c>
      <c r="B30" s="11">
        <v>649.76</v>
      </c>
      <c r="C30" s="13" t="s">
        <v>284</v>
      </c>
    </row>
    <row r="31" spans="1:3" ht="29.4" thickBot="1" x14ac:dyDescent="0.35">
      <c r="A31" s="12" t="s">
        <v>285</v>
      </c>
      <c r="B31" s="11">
        <v>830.73</v>
      </c>
      <c r="C31" s="13" t="s">
        <v>286</v>
      </c>
    </row>
    <row r="32" spans="1:3" ht="43.8" thickBot="1" x14ac:dyDescent="0.35">
      <c r="A32" s="12" t="s">
        <v>287</v>
      </c>
      <c r="B32" s="11">
        <v>526.54999999999995</v>
      </c>
      <c r="C32" s="13" t="s">
        <v>288</v>
      </c>
    </row>
    <row r="33" spans="1:3" ht="29.4" thickBot="1" x14ac:dyDescent="0.35">
      <c r="A33" s="12" t="s">
        <v>289</v>
      </c>
      <c r="B33" s="11">
        <v>344.93</v>
      </c>
      <c r="C33" s="13" t="s">
        <v>290</v>
      </c>
    </row>
    <row r="34" spans="1:3" ht="43.8" thickBot="1" x14ac:dyDescent="0.35">
      <c r="A34" s="12" t="s">
        <v>291</v>
      </c>
      <c r="B34" s="11">
        <v>571.66</v>
      </c>
      <c r="C34" s="13" t="s">
        <v>292</v>
      </c>
    </row>
    <row r="35" spans="1:3" ht="43.8" thickBot="1" x14ac:dyDescent="0.35">
      <c r="A35" s="12" t="s">
        <v>293</v>
      </c>
      <c r="B35" s="11">
        <v>867.66</v>
      </c>
      <c r="C35" s="13" t="s">
        <v>294</v>
      </c>
    </row>
    <row r="36" spans="1:3" ht="43.8" thickBot="1" x14ac:dyDescent="0.35">
      <c r="A36" s="12" t="s">
        <v>295</v>
      </c>
      <c r="B36" s="11">
        <v>479.41</v>
      </c>
      <c r="C36" s="13" t="s">
        <v>296</v>
      </c>
    </row>
    <row r="37" spans="1:3" ht="29.4" thickBot="1" x14ac:dyDescent="0.35">
      <c r="A37" s="12" t="s">
        <v>297</v>
      </c>
      <c r="B37" s="11">
        <v>173.67</v>
      </c>
      <c r="C37" s="13" t="s">
        <v>298</v>
      </c>
    </row>
    <row r="38" spans="1:3" ht="43.8" thickBot="1" x14ac:dyDescent="0.35">
      <c r="A38" s="12" t="s">
        <v>299</v>
      </c>
      <c r="B38" s="11">
        <v>694.92</v>
      </c>
      <c r="C38" s="13" t="s">
        <v>300</v>
      </c>
    </row>
    <row r="39" spans="1:3" ht="29.4" thickBot="1" x14ac:dyDescent="0.35">
      <c r="A39" s="12" t="s">
        <v>301</v>
      </c>
      <c r="B39" s="11">
        <v>230.57</v>
      </c>
      <c r="C39" s="13" t="s">
        <v>302</v>
      </c>
    </row>
    <row r="40" spans="1:3" ht="29.4" thickBot="1" x14ac:dyDescent="0.35">
      <c r="A40" s="12" t="s">
        <v>303</v>
      </c>
      <c r="B40" s="11">
        <v>796.34</v>
      </c>
      <c r="C40" s="13" t="s">
        <v>304</v>
      </c>
    </row>
    <row r="41" spans="1:3" ht="43.8" thickBot="1" x14ac:dyDescent="0.35">
      <c r="A41" s="12" t="s">
        <v>305</v>
      </c>
      <c r="B41" s="11">
        <v>532.27</v>
      </c>
      <c r="C41" s="13" t="s">
        <v>306</v>
      </c>
    </row>
    <row r="42" spans="1:3" ht="43.8" thickBot="1" x14ac:dyDescent="0.35">
      <c r="A42" s="12" t="s">
        <v>307</v>
      </c>
      <c r="B42" s="11">
        <v>184.92</v>
      </c>
      <c r="C42" s="13" t="s">
        <v>308</v>
      </c>
    </row>
    <row r="43" spans="1:3" ht="43.8" thickBot="1" x14ac:dyDescent="0.35">
      <c r="A43" s="12" t="s">
        <v>309</v>
      </c>
      <c r="B43" s="11">
        <v>249.3</v>
      </c>
      <c r="C43" s="13" t="s">
        <v>310</v>
      </c>
    </row>
    <row r="44" spans="1:3" ht="43.8" thickBot="1" x14ac:dyDescent="0.35">
      <c r="A44" s="12" t="s">
        <v>311</v>
      </c>
      <c r="B44" s="11">
        <v>783.77</v>
      </c>
      <c r="C44" s="13" t="s">
        <v>312</v>
      </c>
    </row>
    <row r="45" spans="1:3" ht="43.8" thickBot="1" x14ac:dyDescent="0.35">
      <c r="A45" s="12" t="s">
        <v>313</v>
      </c>
      <c r="B45" s="11">
        <v>785.8</v>
      </c>
      <c r="C45" s="13" t="s">
        <v>314</v>
      </c>
    </row>
    <row r="46" spans="1:3" ht="43.8" thickBot="1" x14ac:dyDescent="0.35">
      <c r="A46" s="12" t="s">
        <v>315</v>
      </c>
      <c r="B46" s="11">
        <v>105.67</v>
      </c>
      <c r="C46" s="13" t="s">
        <v>316</v>
      </c>
    </row>
    <row r="47" spans="1:3" ht="29.4" thickBot="1" x14ac:dyDescent="0.35">
      <c r="A47" s="12" t="s">
        <v>317</v>
      </c>
      <c r="B47" s="11">
        <v>579.80999999999995</v>
      </c>
      <c r="C47" s="13" t="s">
        <v>318</v>
      </c>
    </row>
    <row r="48" spans="1:3" ht="43.8" thickBot="1" x14ac:dyDescent="0.35">
      <c r="A48" s="12" t="s">
        <v>319</v>
      </c>
      <c r="B48" s="11">
        <v>851.48</v>
      </c>
      <c r="C48" s="13" t="s">
        <v>320</v>
      </c>
    </row>
    <row r="49" spans="1:3" ht="43.8" thickBot="1" x14ac:dyDescent="0.35">
      <c r="A49" s="12" t="s">
        <v>321</v>
      </c>
      <c r="B49" s="11">
        <v>209.33</v>
      </c>
      <c r="C49" s="13" t="s">
        <v>322</v>
      </c>
    </row>
    <row r="50" spans="1:3" ht="29.4" thickBot="1" x14ac:dyDescent="0.35">
      <c r="A50" s="12" t="s">
        <v>323</v>
      </c>
      <c r="B50" s="11">
        <v>548.4</v>
      </c>
      <c r="C50" s="13" t="s">
        <v>324</v>
      </c>
    </row>
    <row r="51" spans="1:3" ht="43.8" thickBot="1" x14ac:dyDescent="0.35">
      <c r="A51" s="12" t="s">
        <v>325</v>
      </c>
      <c r="B51" s="11">
        <v>432.23</v>
      </c>
      <c r="C51" s="13" t="s">
        <v>326</v>
      </c>
    </row>
    <row r="52" spans="1:3" ht="29.4" thickBot="1" x14ac:dyDescent="0.35">
      <c r="A52" s="12" t="s">
        <v>327</v>
      </c>
      <c r="B52" s="11">
        <v>472.66</v>
      </c>
      <c r="C52" s="13" t="s">
        <v>328</v>
      </c>
    </row>
    <row r="53" spans="1:3" ht="29.4" thickBot="1" x14ac:dyDescent="0.35">
      <c r="A53" s="12" t="s">
        <v>329</v>
      </c>
      <c r="B53" s="11">
        <v>773.96</v>
      </c>
      <c r="C53" s="13" t="s">
        <v>330</v>
      </c>
    </row>
    <row r="54" spans="1:3" ht="29.4" thickBot="1" x14ac:dyDescent="0.35">
      <c r="A54" s="12" t="s">
        <v>331</v>
      </c>
      <c r="B54" s="11">
        <v>951.35</v>
      </c>
      <c r="C54" s="13" t="s">
        <v>332</v>
      </c>
    </row>
    <row r="55" spans="1:3" ht="43.8" thickBot="1" x14ac:dyDescent="0.35">
      <c r="A55" s="12" t="s">
        <v>333</v>
      </c>
      <c r="B55" s="11">
        <v>568.27</v>
      </c>
      <c r="C55" s="13" t="s">
        <v>334</v>
      </c>
    </row>
    <row r="56" spans="1:3" ht="29.4" thickBot="1" x14ac:dyDescent="0.35">
      <c r="A56" s="12" t="s">
        <v>335</v>
      </c>
      <c r="B56" s="11">
        <v>880.2</v>
      </c>
      <c r="C56" s="13" t="s">
        <v>336</v>
      </c>
    </row>
    <row r="57" spans="1:3" ht="43.8" thickBot="1" x14ac:dyDescent="0.35">
      <c r="A57" s="12" t="s">
        <v>337</v>
      </c>
      <c r="B57" s="11">
        <v>780.4</v>
      </c>
      <c r="C57" s="13" t="s">
        <v>338</v>
      </c>
    </row>
    <row r="58" spans="1:3" ht="29.4" thickBot="1" x14ac:dyDescent="0.35">
      <c r="A58" s="12" t="s">
        <v>339</v>
      </c>
      <c r="B58" s="11">
        <v>769.39</v>
      </c>
      <c r="C58" s="13" t="s">
        <v>340</v>
      </c>
    </row>
    <row r="59" spans="1:3" ht="43.8" thickBot="1" x14ac:dyDescent="0.35">
      <c r="A59" s="12" t="s">
        <v>341</v>
      </c>
      <c r="B59" s="11">
        <v>436.04</v>
      </c>
      <c r="C59" s="13" t="s">
        <v>342</v>
      </c>
    </row>
    <row r="60" spans="1:3" ht="43.8" thickBot="1" x14ac:dyDescent="0.35">
      <c r="A60" s="12" t="s">
        <v>343</v>
      </c>
      <c r="B60" s="11">
        <v>241.41</v>
      </c>
      <c r="C60" s="13" t="s">
        <v>344</v>
      </c>
    </row>
    <row r="61" spans="1:3" ht="43.8" thickBot="1" x14ac:dyDescent="0.35">
      <c r="A61" s="12" t="s">
        <v>345</v>
      </c>
      <c r="B61" s="11">
        <v>311.36</v>
      </c>
      <c r="C61" s="13" t="s">
        <v>346</v>
      </c>
    </row>
    <row r="62" spans="1:3" ht="43.8" thickBot="1" x14ac:dyDescent="0.35">
      <c r="A62" s="12" t="s">
        <v>347</v>
      </c>
      <c r="B62" s="11">
        <v>638.89</v>
      </c>
      <c r="C62" s="13" t="s">
        <v>348</v>
      </c>
    </row>
    <row r="63" spans="1:3" ht="43.8" thickBot="1" x14ac:dyDescent="0.35">
      <c r="A63" s="12" t="s">
        <v>349</v>
      </c>
      <c r="B63" s="11">
        <v>850.09</v>
      </c>
      <c r="C63" s="13" t="s">
        <v>350</v>
      </c>
    </row>
    <row r="64" spans="1:3" ht="43.8" thickBot="1" x14ac:dyDescent="0.35">
      <c r="A64" s="12" t="s">
        <v>351</v>
      </c>
      <c r="B64" s="11">
        <v>891.15</v>
      </c>
      <c r="C64" s="13" t="s">
        <v>352</v>
      </c>
    </row>
    <row r="65" spans="1:3" ht="43.8" thickBot="1" x14ac:dyDescent="0.35">
      <c r="A65" s="12" t="s">
        <v>353</v>
      </c>
      <c r="B65" s="11">
        <v>662.74</v>
      </c>
      <c r="C65" s="13" t="s">
        <v>354</v>
      </c>
    </row>
    <row r="66" spans="1:3" ht="29.4" thickBot="1" x14ac:dyDescent="0.35">
      <c r="A66" s="12" t="s">
        <v>355</v>
      </c>
      <c r="B66" s="11">
        <v>527.37</v>
      </c>
      <c r="C66" s="13" t="s">
        <v>356</v>
      </c>
    </row>
    <row r="67" spans="1:3" ht="29.4" thickBot="1" x14ac:dyDescent="0.35">
      <c r="A67" s="12" t="s">
        <v>357</v>
      </c>
      <c r="B67" s="11">
        <v>886.71</v>
      </c>
      <c r="C67" s="13" t="s">
        <v>358</v>
      </c>
    </row>
    <row r="68" spans="1:3" ht="43.8" thickBot="1" x14ac:dyDescent="0.35">
      <c r="A68" s="12" t="s">
        <v>359</v>
      </c>
      <c r="B68" s="11">
        <v>764.33</v>
      </c>
      <c r="C68" s="13" t="s">
        <v>360</v>
      </c>
    </row>
    <row r="69" spans="1:3" ht="29.4" thickBot="1" x14ac:dyDescent="0.35">
      <c r="A69" s="12" t="s">
        <v>361</v>
      </c>
      <c r="B69" s="11">
        <v>319.93</v>
      </c>
      <c r="C69" s="13" t="s">
        <v>362</v>
      </c>
    </row>
    <row r="70" spans="1:3" ht="29.4" thickBot="1" x14ac:dyDescent="0.35">
      <c r="A70" s="12" t="s">
        <v>363</v>
      </c>
      <c r="B70" s="11">
        <v>798.96</v>
      </c>
      <c r="C70" s="13" t="s">
        <v>364</v>
      </c>
    </row>
    <row r="71" spans="1:3" ht="29.4" thickBot="1" x14ac:dyDescent="0.35">
      <c r="A71" s="12" t="s">
        <v>365</v>
      </c>
      <c r="B71" s="11">
        <v>360.75</v>
      </c>
      <c r="C71" s="13" t="s">
        <v>366</v>
      </c>
    </row>
    <row r="72" spans="1:3" ht="43.8" thickBot="1" x14ac:dyDescent="0.35">
      <c r="A72" s="12" t="s">
        <v>367</v>
      </c>
      <c r="B72" s="11">
        <v>268.16000000000003</v>
      </c>
      <c r="C72" s="13" t="s">
        <v>368</v>
      </c>
    </row>
    <row r="73" spans="1:3" ht="29.4" thickBot="1" x14ac:dyDescent="0.35">
      <c r="A73" s="12" t="s">
        <v>369</v>
      </c>
      <c r="B73" s="11">
        <v>931.73</v>
      </c>
      <c r="C73" s="13" t="s">
        <v>370</v>
      </c>
    </row>
    <row r="74" spans="1:3" ht="29.4" thickBot="1" x14ac:dyDescent="0.35">
      <c r="A74" s="12" t="s">
        <v>371</v>
      </c>
      <c r="B74" s="11">
        <v>626.54</v>
      </c>
      <c r="C74" s="13" t="s">
        <v>372</v>
      </c>
    </row>
    <row r="75" spans="1:3" ht="29.4" thickBot="1" x14ac:dyDescent="0.35">
      <c r="A75" s="12" t="s">
        <v>373</v>
      </c>
      <c r="B75" s="11">
        <v>673.97</v>
      </c>
      <c r="C75" s="13" t="s">
        <v>374</v>
      </c>
    </row>
    <row r="76" spans="1:3" ht="29.4" thickBot="1" x14ac:dyDescent="0.35">
      <c r="A76" s="12" t="s">
        <v>375</v>
      </c>
      <c r="B76" s="11">
        <v>362.43</v>
      </c>
      <c r="C76" s="13" t="s">
        <v>376</v>
      </c>
    </row>
    <row r="77" spans="1:3" ht="43.8" thickBot="1" x14ac:dyDescent="0.35">
      <c r="A77" s="12" t="s">
        <v>377</v>
      </c>
      <c r="B77" s="11">
        <v>111.84</v>
      </c>
      <c r="C77" s="13" t="s">
        <v>378</v>
      </c>
    </row>
    <row r="78" spans="1:3" ht="43.8" thickBot="1" x14ac:dyDescent="0.35">
      <c r="A78" s="12" t="s">
        <v>379</v>
      </c>
      <c r="B78" s="11">
        <v>669.59</v>
      </c>
      <c r="C78" s="13" t="s">
        <v>380</v>
      </c>
    </row>
    <row r="79" spans="1:3" ht="29.4" thickBot="1" x14ac:dyDescent="0.35">
      <c r="A79" s="12" t="s">
        <v>381</v>
      </c>
      <c r="B79" s="11">
        <v>431.16</v>
      </c>
      <c r="C79" s="13" t="s">
        <v>382</v>
      </c>
    </row>
    <row r="80" spans="1:3" ht="43.8" thickBot="1" x14ac:dyDescent="0.35">
      <c r="A80" s="12" t="s">
        <v>383</v>
      </c>
      <c r="B80" s="11">
        <v>616.03</v>
      </c>
      <c r="C80" s="13" t="s">
        <v>384</v>
      </c>
    </row>
    <row r="81" spans="1:3" ht="29.4" thickBot="1" x14ac:dyDescent="0.35">
      <c r="A81" s="12" t="s">
        <v>385</v>
      </c>
      <c r="B81" s="11">
        <v>285.99</v>
      </c>
      <c r="C81" s="13" t="s">
        <v>386</v>
      </c>
    </row>
    <row r="82" spans="1:3" ht="29.4" thickBot="1" x14ac:dyDescent="0.35">
      <c r="A82" s="12" t="s">
        <v>387</v>
      </c>
      <c r="B82" s="11">
        <v>466.93</v>
      </c>
      <c r="C82" s="13" t="s">
        <v>388</v>
      </c>
    </row>
    <row r="83" spans="1:3" ht="29.4" thickBot="1" x14ac:dyDescent="0.35">
      <c r="A83" s="12" t="s">
        <v>389</v>
      </c>
      <c r="B83" s="11">
        <v>224.5</v>
      </c>
      <c r="C83" s="13" t="s">
        <v>390</v>
      </c>
    </row>
    <row r="84" spans="1:3" ht="29.4" thickBot="1" x14ac:dyDescent="0.35">
      <c r="A84" s="12" t="s">
        <v>391</v>
      </c>
      <c r="B84" s="11">
        <v>143.16999999999999</v>
      </c>
      <c r="C84" s="13" t="s">
        <v>392</v>
      </c>
    </row>
    <row r="85" spans="1:3" ht="43.8" thickBot="1" x14ac:dyDescent="0.35">
      <c r="A85" s="12" t="s">
        <v>393</v>
      </c>
      <c r="B85" s="11">
        <v>958.01</v>
      </c>
      <c r="C85" s="13" t="s">
        <v>394</v>
      </c>
    </row>
    <row r="86" spans="1:3" ht="43.8" thickBot="1" x14ac:dyDescent="0.35">
      <c r="A86" s="12" t="s">
        <v>395</v>
      </c>
      <c r="B86" s="11">
        <v>960.4</v>
      </c>
      <c r="C86" s="13" t="s">
        <v>396</v>
      </c>
    </row>
    <row r="87" spans="1:3" ht="29.4" thickBot="1" x14ac:dyDescent="0.35">
      <c r="A87" s="12" t="s">
        <v>397</v>
      </c>
      <c r="B87" s="11">
        <v>685.27</v>
      </c>
      <c r="C87" s="13" t="s">
        <v>398</v>
      </c>
    </row>
    <row r="88" spans="1:3" ht="43.8" thickBot="1" x14ac:dyDescent="0.35">
      <c r="A88" s="12" t="s">
        <v>399</v>
      </c>
      <c r="B88" s="11">
        <v>923.3</v>
      </c>
      <c r="C88" s="13" t="s">
        <v>400</v>
      </c>
    </row>
    <row r="89" spans="1:3" ht="29.4" thickBot="1" x14ac:dyDescent="0.35">
      <c r="A89" s="12" t="s">
        <v>401</v>
      </c>
      <c r="B89" s="11">
        <v>635.72</v>
      </c>
      <c r="C89" s="13" t="s">
        <v>402</v>
      </c>
    </row>
    <row r="90" spans="1:3" ht="43.8" thickBot="1" x14ac:dyDescent="0.35">
      <c r="A90" s="12" t="s">
        <v>403</v>
      </c>
      <c r="B90" s="11">
        <v>943.59</v>
      </c>
      <c r="C90" s="13" t="s">
        <v>404</v>
      </c>
    </row>
    <row r="91" spans="1:3" ht="29.4" thickBot="1" x14ac:dyDescent="0.35">
      <c r="A91" s="12" t="s">
        <v>405</v>
      </c>
      <c r="B91" s="11">
        <v>773.32</v>
      </c>
      <c r="C91" s="13" t="s">
        <v>406</v>
      </c>
    </row>
    <row r="92" spans="1:3" ht="29.4" thickBot="1" x14ac:dyDescent="0.35">
      <c r="A92" s="12" t="s">
        <v>407</v>
      </c>
      <c r="B92" s="11">
        <v>756.78</v>
      </c>
      <c r="C92" s="13" t="s">
        <v>408</v>
      </c>
    </row>
    <row r="93" spans="1:3" ht="43.8" thickBot="1" x14ac:dyDescent="0.35">
      <c r="A93" s="12" t="s">
        <v>409</v>
      </c>
      <c r="B93" s="11">
        <v>286.72000000000003</v>
      </c>
      <c r="C93" s="13" t="s">
        <v>410</v>
      </c>
    </row>
    <row r="94" spans="1:3" ht="43.8" thickBot="1" x14ac:dyDescent="0.35">
      <c r="A94" s="12" t="s">
        <v>411</v>
      </c>
      <c r="B94" s="11">
        <v>991.36</v>
      </c>
      <c r="C94" s="13" t="s">
        <v>412</v>
      </c>
    </row>
    <row r="95" spans="1:3" ht="43.8" thickBot="1" x14ac:dyDescent="0.35">
      <c r="A95" s="12" t="s">
        <v>413</v>
      </c>
      <c r="B95" s="11">
        <v>962.92</v>
      </c>
      <c r="C95" s="13" t="s">
        <v>414</v>
      </c>
    </row>
    <row r="96" spans="1:3" ht="43.8" thickBot="1" x14ac:dyDescent="0.35">
      <c r="A96" s="12" t="s">
        <v>415</v>
      </c>
      <c r="B96" s="11">
        <v>464.62</v>
      </c>
      <c r="C96" s="13" t="s">
        <v>416</v>
      </c>
    </row>
    <row r="97" spans="1:3" ht="29.4" thickBot="1" x14ac:dyDescent="0.35">
      <c r="A97" s="12" t="s">
        <v>417</v>
      </c>
      <c r="B97" s="11">
        <v>640.87</v>
      </c>
      <c r="C97" s="13" t="s">
        <v>418</v>
      </c>
    </row>
    <row r="98" spans="1:3" ht="43.8" thickBot="1" x14ac:dyDescent="0.35">
      <c r="A98" s="12" t="s">
        <v>419</v>
      </c>
      <c r="B98" s="11">
        <v>329.11</v>
      </c>
      <c r="C98" s="13" t="s">
        <v>420</v>
      </c>
    </row>
    <row r="99" spans="1:3" ht="43.8" thickBot="1" x14ac:dyDescent="0.35">
      <c r="A99" s="12" t="s">
        <v>421</v>
      </c>
      <c r="B99" s="11">
        <v>608.07000000000005</v>
      </c>
      <c r="C99" s="13" t="s">
        <v>422</v>
      </c>
    </row>
    <row r="100" spans="1:3" ht="15" thickBot="1" x14ac:dyDescent="0.35">
      <c r="A100" s="12" t="s">
        <v>423</v>
      </c>
      <c r="B100" s="11">
        <v>256.33999999999997</v>
      </c>
      <c r="C100" s="13" t="s">
        <v>424</v>
      </c>
    </row>
    <row r="101" spans="1:3" ht="28.8" x14ac:dyDescent="0.3">
      <c r="A101" s="14" t="s">
        <v>425</v>
      </c>
      <c r="B101" s="15">
        <v>169.33</v>
      </c>
      <c r="C101" s="16" t="s">
        <v>426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38EDD-39F8-480E-B60A-D2787C9EB146}">
  <dimension ref="A1:C4"/>
  <sheetViews>
    <sheetView workbookViewId="0">
      <selection sqref="A1:C4"/>
    </sheetView>
  </sheetViews>
  <sheetFormatPr defaultRowHeight="14.4" x14ac:dyDescent="0.3"/>
  <cols>
    <col min="1" max="1" width="15.6640625" bestFit="1" customWidth="1"/>
    <col min="2" max="2" width="12.6640625" bestFit="1" customWidth="1"/>
    <col min="3" max="3" width="16.77734375" bestFit="1" customWidth="1"/>
  </cols>
  <sheetData>
    <row r="1" spans="1:3" ht="21.6" thickBot="1" x14ac:dyDescent="0.35">
      <c r="A1" s="28" t="s">
        <v>427</v>
      </c>
      <c r="B1" s="29" t="s">
        <v>428</v>
      </c>
      <c r="C1" s="30" t="s">
        <v>429</v>
      </c>
    </row>
    <row r="2" spans="1:3" ht="72.599999999999994" thickBot="1" x14ac:dyDescent="0.35">
      <c r="A2" s="23" t="s">
        <v>430</v>
      </c>
      <c r="B2" s="1" t="s">
        <v>431</v>
      </c>
      <c r="C2" s="24" t="s">
        <v>432</v>
      </c>
    </row>
    <row r="3" spans="1:3" ht="43.8" thickBot="1" x14ac:dyDescent="0.35">
      <c r="A3" s="23" t="s">
        <v>433</v>
      </c>
      <c r="B3" s="1">
        <v>2050</v>
      </c>
      <c r="C3" s="24" t="s">
        <v>434</v>
      </c>
    </row>
    <row r="4" spans="1:3" ht="72" x14ac:dyDescent="0.3">
      <c r="A4" s="25" t="s">
        <v>435</v>
      </c>
      <c r="B4" s="26" t="s">
        <v>436</v>
      </c>
      <c r="C4" s="27" t="s">
        <v>437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B661-59DF-4BD9-82A4-E9150694D5A0}">
  <dimension ref="A1:J2001"/>
  <sheetViews>
    <sheetView tabSelected="1" zoomScaleNormal="100" workbookViewId="0">
      <selection activeCell="I25" sqref="I25"/>
    </sheetView>
  </sheetViews>
  <sheetFormatPr defaultRowHeight="14.4" x14ac:dyDescent="0.3"/>
  <cols>
    <col min="1" max="1" width="18.33203125" customWidth="1"/>
    <col min="2" max="2" width="20.5546875" customWidth="1"/>
    <col min="3" max="3" width="17.88671875" customWidth="1"/>
    <col min="4" max="4" width="10.88671875" bestFit="1" customWidth="1"/>
    <col min="5" max="5" width="15.88671875" bestFit="1" customWidth="1"/>
    <col min="6" max="6" width="24" bestFit="1" customWidth="1"/>
    <col min="7" max="7" width="24.109375" bestFit="1" customWidth="1"/>
    <col min="8" max="8" width="15.6640625" bestFit="1" customWidth="1"/>
    <col min="9" max="9" width="14.77734375" bestFit="1" customWidth="1"/>
    <col min="10" max="10" width="13.5546875" bestFit="1" customWidth="1"/>
    <col min="11" max="11" width="16.21875" customWidth="1"/>
    <col min="12" max="13" width="8" bestFit="1" customWidth="1"/>
    <col min="14" max="14" width="8.44140625" bestFit="1" customWidth="1"/>
  </cols>
  <sheetData>
    <row r="1" spans="1:10" ht="28.8" x14ac:dyDescent="0.3">
      <c r="A1" s="34" t="s">
        <v>1</v>
      </c>
      <c r="B1" s="34" t="s">
        <v>438</v>
      </c>
      <c r="C1" s="34" t="s">
        <v>439</v>
      </c>
      <c r="D1" s="34" t="s">
        <v>10</v>
      </c>
      <c r="E1" s="34" t="s">
        <v>15</v>
      </c>
      <c r="F1" s="34" t="s">
        <v>24</v>
      </c>
      <c r="G1" s="41" t="s">
        <v>446</v>
      </c>
      <c r="H1" s="34" t="s">
        <v>451</v>
      </c>
      <c r="I1" s="34" t="s">
        <v>452</v>
      </c>
      <c r="J1" s="34" t="s">
        <v>453</v>
      </c>
    </row>
    <row r="2" spans="1:10" x14ac:dyDescent="0.3">
      <c r="A2" s="34" t="s">
        <v>30</v>
      </c>
      <c r="B2" s="34">
        <v>2022</v>
      </c>
      <c r="C2" s="34" t="s">
        <v>444</v>
      </c>
      <c r="D2" s="34">
        <v>73049.413439199998</v>
      </c>
      <c r="E2" s="34">
        <v>132818.93924349998</v>
      </c>
      <c r="F2" s="34">
        <v>134840.56244199997</v>
      </c>
      <c r="G2" s="34">
        <f>D2+E2+F2</f>
        <v>340708.91512469994</v>
      </c>
      <c r="H2" s="34">
        <f>VLOOKUP(TRIM(Table7[[#This Row],[Facility Name]]),Table2[[Facility Name]:[Energy Consumption (MWh)]],3,FALSE)</f>
        <v>6965.81</v>
      </c>
      <c r="I2" s="34">
        <f>VLOOKUP(Table7[[#This Row],[Facility Name]],Table2[[Facility Name]:[Production Volume (units)]],2,FALSE)</f>
        <v>53661</v>
      </c>
      <c r="J2" s="34">
        <f>Table7[[#This Row],[Production Volume]]/Table7[[#This Row],[Energy Consumption]]</f>
        <v>7.7034831555842027</v>
      </c>
    </row>
    <row r="3" spans="1:10" x14ac:dyDescent="0.3">
      <c r="A3" s="34" t="s">
        <v>30</v>
      </c>
      <c r="B3" s="34">
        <v>2022</v>
      </c>
      <c r="C3" s="34" t="s">
        <v>445</v>
      </c>
      <c r="D3" s="34">
        <v>83797.322028399984</v>
      </c>
      <c r="E3" s="34">
        <v>164392.5824667</v>
      </c>
      <c r="F3" s="34">
        <v>78066.693311199968</v>
      </c>
      <c r="G3" s="34">
        <f t="shared" ref="G3:G21" si="0">D3+E3+F3</f>
        <v>326256.59780629992</v>
      </c>
      <c r="H3" s="34">
        <f>VLOOKUP(TRIM(Table7[[#This Row],[Facility Name]]),Table2[[Facility Name]:[Energy Consumption (MWh)]],3,FALSE)</f>
        <v>6965.81</v>
      </c>
      <c r="I3" s="34">
        <f>VLOOKUP(Table7[[#This Row],[Facility Name]],Table2[[Facility Name]:[Production Volume (units)]],2,FALSE)</f>
        <v>53661</v>
      </c>
      <c r="J3" s="34">
        <f>Table7[[#This Row],[Production Volume]]/Table7[[#This Row],[Energy Consumption]]</f>
        <v>7.7034831555842027</v>
      </c>
    </row>
    <row r="4" spans="1:10" x14ac:dyDescent="0.3">
      <c r="A4" s="34" t="s">
        <v>30</v>
      </c>
      <c r="B4" s="34">
        <v>2023</v>
      </c>
      <c r="C4" s="34" t="s">
        <v>444</v>
      </c>
      <c r="D4" s="34">
        <v>129346.1991725</v>
      </c>
      <c r="E4" s="34">
        <v>122925.770898</v>
      </c>
      <c r="F4" s="34">
        <v>108571.24420599997</v>
      </c>
      <c r="G4" s="34">
        <f t="shared" si="0"/>
        <v>360843.21427649993</v>
      </c>
      <c r="H4" s="34">
        <f>VLOOKUP(TRIM(Table7[[#This Row],[Facility Name]]),Table2[[Facility Name]:[Energy Consumption (MWh)]],3,FALSE)</f>
        <v>6965.81</v>
      </c>
      <c r="I4" s="34">
        <f>VLOOKUP(Table7[[#This Row],[Facility Name]],Table2[[Facility Name]:[Production Volume (units)]],2,FALSE)</f>
        <v>53661</v>
      </c>
      <c r="J4" s="34">
        <f>Table7[[#This Row],[Production Volume]]/Table7[[#This Row],[Energy Consumption]]</f>
        <v>7.7034831555842027</v>
      </c>
    </row>
    <row r="5" spans="1:10" x14ac:dyDescent="0.3">
      <c r="A5" s="34" t="s">
        <v>30</v>
      </c>
      <c r="B5" s="34">
        <v>2023</v>
      </c>
      <c r="C5" s="34" t="s">
        <v>445</v>
      </c>
      <c r="D5" s="34">
        <v>122853.27237409999</v>
      </c>
      <c r="E5" s="34">
        <v>91418.681581700002</v>
      </c>
      <c r="F5" s="34">
        <v>119032.634666</v>
      </c>
      <c r="G5" s="34">
        <f t="shared" si="0"/>
        <v>333304.58862179995</v>
      </c>
      <c r="H5" s="34">
        <f>VLOOKUP(TRIM(Table7[[#This Row],[Facility Name]]),Table2[[Facility Name]:[Energy Consumption (MWh)]],3,FALSE)</f>
        <v>6965.81</v>
      </c>
      <c r="I5" s="34">
        <f>VLOOKUP(Table7[[#This Row],[Facility Name]],Table2[[Facility Name]:[Production Volume (units)]],2,FALSE)</f>
        <v>53661</v>
      </c>
      <c r="J5" s="34">
        <f>Table7[[#This Row],[Production Volume]]/Table7[[#This Row],[Energy Consumption]]</f>
        <v>7.7034831555842027</v>
      </c>
    </row>
    <row r="6" spans="1:10" x14ac:dyDescent="0.3">
      <c r="A6" s="34" t="s">
        <v>7</v>
      </c>
      <c r="B6" s="34">
        <v>2022</v>
      </c>
      <c r="C6" s="34" t="s">
        <v>444</v>
      </c>
      <c r="D6" s="34">
        <v>68429.000044599976</v>
      </c>
      <c r="E6" s="34">
        <v>77576.991259999995</v>
      </c>
      <c r="F6" s="34">
        <v>57894.777097500002</v>
      </c>
      <c r="G6" s="34">
        <f t="shared" si="0"/>
        <v>203900.76840209996</v>
      </c>
      <c r="H6" s="34">
        <f>VLOOKUP(TRIM(Table7[[#This Row],[Facility Name]]),Table2[[Facility Name]:[Energy Consumption (MWh)]],3,FALSE)</f>
        <v>8768.7999999999993</v>
      </c>
      <c r="I6" s="34">
        <f>VLOOKUP(Table7[[#This Row],[Facility Name]],Table2[[Facility Name]:[Production Volume (units)]],2,FALSE)</f>
        <v>83923</v>
      </c>
      <c r="J6" s="34">
        <f>Table7[[#This Row],[Production Volume]]/Table7[[#This Row],[Energy Consumption]]</f>
        <v>9.5706368032113858</v>
      </c>
    </row>
    <row r="7" spans="1:10" x14ac:dyDescent="0.3">
      <c r="A7" s="34" t="s">
        <v>7</v>
      </c>
      <c r="B7" s="34">
        <v>2022</v>
      </c>
      <c r="C7" s="34" t="s">
        <v>445</v>
      </c>
      <c r="D7" s="34">
        <v>110168.87847430001</v>
      </c>
      <c r="E7" s="34">
        <v>94582.110753800007</v>
      </c>
      <c r="F7" s="34">
        <v>79596.820319999999</v>
      </c>
      <c r="G7" s="34">
        <f t="shared" si="0"/>
        <v>284347.80954809999</v>
      </c>
      <c r="H7" s="34">
        <f>VLOOKUP(TRIM(Table7[[#This Row],[Facility Name]]),Table2[[Facility Name]:[Energy Consumption (MWh)]],3,FALSE)</f>
        <v>8768.7999999999993</v>
      </c>
      <c r="I7" s="34">
        <f>VLOOKUP(Table7[[#This Row],[Facility Name]],Table2[[Facility Name]:[Production Volume (units)]],2,FALSE)</f>
        <v>83923</v>
      </c>
      <c r="J7" s="34">
        <f>Table7[[#This Row],[Production Volume]]/Table7[[#This Row],[Energy Consumption]]</f>
        <v>9.5706368032113858</v>
      </c>
    </row>
    <row r="8" spans="1:10" x14ac:dyDescent="0.3">
      <c r="A8" s="34" t="s">
        <v>7</v>
      </c>
      <c r="B8" s="34">
        <v>2023</v>
      </c>
      <c r="C8" s="34" t="s">
        <v>444</v>
      </c>
      <c r="D8" s="34">
        <v>60924.2258</v>
      </c>
      <c r="E8" s="34">
        <v>88314.298408000002</v>
      </c>
      <c r="F8" s="34">
        <v>68053.247266300008</v>
      </c>
      <c r="G8" s="34">
        <f t="shared" si="0"/>
        <v>217291.77147430001</v>
      </c>
      <c r="H8" s="34">
        <f>VLOOKUP(TRIM(Table7[[#This Row],[Facility Name]]),Table2[[Facility Name]:[Energy Consumption (MWh)]],3,FALSE)</f>
        <v>8768.7999999999993</v>
      </c>
      <c r="I8" s="34">
        <f>VLOOKUP(Table7[[#This Row],[Facility Name]],Table2[[Facility Name]:[Production Volume (units)]],2,FALSE)</f>
        <v>83923</v>
      </c>
      <c r="J8" s="34">
        <f>Table7[[#This Row],[Production Volume]]/Table7[[#This Row],[Energy Consumption]]</f>
        <v>9.5706368032113858</v>
      </c>
    </row>
    <row r="9" spans="1:10" x14ac:dyDescent="0.3">
      <c r="A9" s="34" t="s">
        <v>7</v>
      </c>
      <c r="B9" s="34">
        <v>2023</v>
      </c>
      <c r="C9" s="34" t="s">
        <v>445</v>
      </c>
      <c r="D9" s="34">
        <v>77904.116125300003</v>
      </c>
      <c r="E9" s="34">
        <v>101373.38877009999</v>
      </c>
      <c r="F9" s="34">
        <v>61696.630718300003</v>
      </c>
      <c r="G9" s="34">
        <f t="shared" si="0"/>
        <v>240974.1356137</v>
      </c>
      <c r="H9" s="34">
        <f>VLOOKUP(TRIM(Table7[[#This Row],[Facility Name]]),Table2[[Facility Name]:[Energy Consumption (MWh)]],3,FALSE)</f>
        <v>8768.7999999999993</v>
      </c>
      <c r="I9" s="34">
        <f>VLOOKUP(Table7[[#This Row],[Facility Name]],Table2[[Facility Name]:[Production Volume (units)]],2,FALSE)</f>
        <v>83923</v>
      </c>
      <c r="J9" s="34">
        <f>Table7[[#This Row],[Production Volume]]/Table7[[#This Row],[Energy Consumption]]</f>
        <v>9.5706368032113858</v>
      </c>
    </row>
    <row r="10" spans="1:10" x14ac:dyDescent="0.3">
      <c r="A10" s="34" t="s">
        <v>12</v>
      </c>
      <c r="B10" s="34">
        <v>2022</v>
      </c>
      <c r="C10" s="34" t="s">
        <v>444</v>
      </c>
      <c r="D10" s="34">
        <v>69427.986585999999</v>
      </c>
      <c r="E10" s="34">
        <v>43221.147731999998</v>
      </c>
      <c r="F10" s="34">
        <v>75363.474725800013</v>
      </c>
      <c r="G10" s="34">
        <f t="shared" si="0"/>
        <v>188012.60904380001</v>
      </c>
      <c r="H10" s="34">
        <f>VLOOKUP(TRIM(Table7[[#This Row],[Facility Name]]),Table2[[Facility Name]:[Energy Consumption (MWh)]],3,FALSE)</f>
        <v>8543.68</v>
      </c>
      <c r="I10" s="34">
        <f>VLOOKUP(Table7[[#This Row],[Facility Name]],Table2[[Facility Name]:[Production Volume (units)]],2,FALSE)</f>
        <v>54133</v>
      </c>
      <c r="J10" s="34">
        <f>Table7[[#This Row],[Production Volume]]/Table7[[#This Row],[Energy Consumption]]</f>
        <v>6.3360285029401844</v>
      </c>
    </row>
    <row r="11" spans="1:10" x14ac:dyDescent="0.3">
      <c r="A11" s="34" t="s">
        <v>12</v>
      </c>
      <c r="B11" s="34">
        <v>2022</v>
      </c>
      <c r="C11" s="34" t="s">
        <v>445</v>
      </c>
      <c r="D11" s="34">
        <v>84531.940807599967</v>
      </c>
      <c r="E11" s="34">
        <v>64712.632769500007</v>
      </c>
      <c r="F11" s="34">
        <v>61906.520310499996</v>
      </c>
      <c r="G11" s="34">
        <f t="shared" si="0"/>
        <v>211151.09388759997</v>
      </c>
      <c r="H11" s="34">
        <f>VLOOKUP(TRIM(Table7[[#This Row],[Facility Name]]),Table2[[Facility Name]:[Energy Consumption (MWh)]],3,FALSE)</f>
        <v>8543.68</v>
      </c>
      <c r="I11" s="34">
        <f>VLOOKUP(Table7[[#This Row],[Facility Name]],Table2[[Facility Name]:[Production Volume (units)]],2,FALSE)</f>
        <v>54133</v>
      </c>
      <c r="J11" s="34">
        <f>Table7[[#This Row],[Production Volume]]/Table7[[#This Row],[Energy Consumption]]</f>
        <v>6.3360285029401844</v>
      </c>
    </row>
    <row r="12" spans="1:10" x14ac:dyDescent="0.3">
      <c r="A12" s="34" t="s">
        <v>12</v>
      </c>
      <c r="B12" s="34">
        <v>2023</v>
      </c>
      <c r="C12" s="34" t="s">
        <v>444</v>
      </c>
      <c r="D12" s="34">
        <v>88167.873229599994</v>
      </c>
      <c r="E12" s="34">
        <v>43840.907152699998</v>
      </c>
      <c r="F12" s="34">
        <v>82711.997312499996</v>
      </c>
      <c r="G12" s="34">
        <f t="shared" si="0"/>
        <v>214720.7776948</v>
      </c>
      <c r="H12" s="34">
        <f>VLOOKUP(TRIM(Table7[[#This Row],[Facility Name]]),Table2[[Facility Name]:[Energy Consumption (MWh)]],3,FALSE)</f>
        <v>8543.68</v>
      </c>
      <c r="I12" s="34">
        <f>VLOOKUP(Table7[[#This Row],[Facility Name]],Table2[[Facility Name]:[Production Volume (units)]],2,FALSE)</f>
        <v>54133</v>
      </c>
      <c r="J12" s="34">
        <f>Table7[[#This Row],[Production Volume]]/Table7[[#This Row],[Energy Consumption]]</f>
        <v>6.3360285029401844</v>
      </c>
    </row>
    <row r="13" spans="1:10" x14ac:dyDescent="0.3">
      <c r="A13" s="34" t="s">
        <v>12</v>
      </c>
      <c r="B13" s="34">
        <v>2023</v>
      </c>
      <c r="C13" s="34" t="s">
        <v>445</v>
      </c>
      <c r="D13" s="34">
        <v>50162.541794699995</v>
      </c>
      <c r="E13" s="34">
        <v>81090.349822999997</v>
      </c>
      <c r="F13" s="34">
        <v>70937.237002000009</v>
      </c>
      <c r="G13" s="34">
        <f t="shared" si="0"/>
        <v>202190.1286197</v>
      </c>
      <c r="H13" s="34">
        <f>VLOOKUP(TRIM(Table7[[#This Row],[Facility Name]]),Table2[[Facility Name]:[Energy Consumption (MWh)]],3,FALSE)</f>
        <v>8543.68</v>
      </c>
      <c r="I13" s="34">
        <f>VLOOKUP(Table7[[#This Row],[Facility Name]],Table2[[Facility Name]:[Production Volume (units)]],2,FALSE)</f>
        <v>54133</v>
      </c>
      <c r="J13" s="34">
        <f>Table7[[#This Row],[Production Volume]]/Table7[[#This Row],[Energy Consumption]]</f>
        <v>6.3360285029401844</v>
      </c>
    </row>
    <row r="14" spans="1:10" x14ac:dyDescent="0.3">
      <c r="A14" s="34" t="s">
        <v>17</v>
      </c>
      <c r="B14" s="34">
        <v>2022</v>
      </c>
      <c r="C14" s="34" t="s">
        <v>444</v>
      </c>
      <c r="D14" s="34">
        <v>77470.841921000014</v>
      </c>
      <c r="E14" s="34">
        <v>74723.019296000013</v>
      </c>
      <c r="F14" s="34">
        <v>111522.1249298</v>
      </c>
      <c r="G14" s="34">
        <f t="shared" si="0"/>
        <v>263715.98614680005</v>
      </c>
      <c r="H14" s="34">
        <f>VLOOKUP(TRIM(Table7[[#This Row],[Facility Name]]),Table2[[Facility Name]:[Energy Consumption (MWh)]],3,FALSE)</f>
        <v>8818.16</v>
      </c>
      <c r="I14" s="34">
        <f>VLOOKUP(Table7[[#This Row],[Facility Name]],Table2[[Facility Name]:[Production Volume (units)]],2,FALSE)</f>
        <v>72813</v>
      </c>
      <c r="J14" s="34">
        <f>Table7[[#This Row],[Production Volume]]/Table7[[#This Row],[Energy Consumption]]</f>
        <v>8.2571647599952822</v>
      </c>
    </row>
    <row r="15" spans="1:10" x14ac:dyDescent="0.3">
      <c r="A15" s="34" t="s">
        <v>17</v>
      </c>
      <c r="B15" s="34">
        <v>2022</v>
      </c>
      <c r="C15" s="34" t="s">
        <v>445</v>
      </c>
      <c r="D15" s="34">
        <v>74061.092263200015</v>
      </c>
      <c r="E15" s="34">
        <v>84887.695205999989</v>
      </c>
      <c r="F15" s="34">
        <v>70093.214699000018</v>
      </c>
      <c r="G15" s="34">
        <f t="shared" si="0"/>
        <v>229042.00216820004</v>
      </c>
      <c r="H15" s="34">
        <f>VLOOKUP(TRIM(Table7[[#This Row],[Facility Name]]),Table2[[Facility Name]:[Energy Consumption (MWh)]],3,FALSE)</f>
        <v>8818.16</v>
      </c>
      <c r="I15" s="34">
        <f>VLOOKUP(Table7[[#This Row],[Facility Name]],Table2[[Facility Name]:[Production Volume (units)]],2,FALSE)</f>
        <v>72813</v>
      </c>
      <c r="J15" s="34">
        <f>Table7[[#This Row],[Production Volume]]/Table7[[#This Row],[Energy Consumption]]</f>
        <v>8.2571647599952822</v>
      </c>
    </row>
    <row r="16" spans="1:10" x14ac:dyDescent="0.3">
      <c r="A16" s="34" t="s">
        <v>17</v>
      </c>
      <c r="B16" s="34">
        <v>2023</v>
      </c>
      <c r="C16" s="34" t="s">
        <v>444</v>
      </c>
      <c r="D16" s="34">
        <v>65192.399545499997</v>
      </c>
      <c r="E16" s="34">
        <v>99374.452635999973</v>
      </c>
      <c r="F16" s="34">
        <v>88076.527188899985</v>
      </c>
      <c r="G16" s="34">
        <f t="shared" si="0"/>
        <v>252643.37937039995</v>
      </c>
      <c r="H16" s="34">
        <f>VLOOKUP(TRIM(Table7[[#This Row],[Facility Name]]),Table2[[Facility Name]:[Energy Consumption (MWh)]],3,FALSE)</f>
        <v>8818.16</v>
      </c>
      <c r="I16" s="34">
        <f>VLOOKUP(Table7[[#This Row],[Facility Name]],Table2[[Facility Name]:[Production Volume (units)]],2,FALSE)</f>
        <v>72813</v>
      </c>
      <c r="J16" s="34">
        <f>Table7[[#This Row],[Production Volume]]/Table7[[#This Row],[Energy Consumption]]</f>
        <v>8.2571647599952822</v>
      </c>
    </row>
    <row r="17" spans="1:10" x14ac:dyDescent="0.3">
      <c r="A17" s="34" t="s">
        <v>17</v>
      </c>
      <c r="B17" s="34">
        <v>2023</v>
      </c>
      <c r="C17" s="34" t="s">
        <v>445</v>
      </c>
      <c r="D17" s="34">
        <v>85354.825582400023</v>
      </c>
      <c r="E17" s="34">
        <v>52482.062996699999</v>
      </c>
      <c r="F17" s="34">
        <v>81451.331642199992</v>
      </c>
      <c r="G17" s="34">
        <f t="shared" si="0"/>
        <v>219288.22022130003</v>
      </c>
      <c r="H17" s="34">
        <f>VLOOKUP(TRIM(Table7[[#This Row],[Facility Name]]),Table2[[Facility Name]:[Energy Consumption (MWh)]],3,FALSE)</f>
        <v>8818.16</v>
      </c>
      <c r="I17" s="34">
        <f>VLOOKUP(Table7[[#This Row],[Facility Name]],Table2[[Facility Name]:[Production Volume (units)]],2,FALSE)</f>
        <v>72813</v>
      </c>
      <c r="J17" s="34">
        <f>Table7[[#This Row],[Production Volume]]/Table7[[#This Row],[Energy Consumption]]</f>
        <v>8.2571647599952822</v>
      </c>
    </row>
    <row r="18" spans="1:10" x14ac:dyDescent="0.3">
      <c r="A18" s="34" t="s">
        <v>19</v>
      </c>
      <c r="B18" s="34">
        <v>2022</v>
      </c>
      <c r="C18" s="34" t="s">
        <v>444</v>
      </c>
      <c r="D18" s="34">
        <v>100099.33307849999</v>
      </c>
      <c r="E18" s="34">
        <v>90931.071901099975</v>
      </c>
      <c r="F18" s="34">
        <v>68834.179949900004</v>
      </c>
      <c r="G18" s="34">
        <f t="shared" si="0"/>
        <v>259864.58492949995</v>
      </c>
      <c r="H18" s="34">
        <f>VLOOKUP(TRIM(Table7[[#This Row],[Facility Name]]),Table2[[Facility Name]:[Energy Consumption (MWh)]],3,FALSE)</f>
        <v>928.26</v>
      </c>
      <c r="I18" s="34">
        <f>VLOOKUP(Table7[[#This Row],[Facility Name]],Table2[[Facility Name]:[Production Volume (units)]],2,FALSE)</f>
        <v>27681</v>
      </c>
      <c r="J18" s="34">
        <f>Table7[[#This Row],[Production Volume]]/Table7[[#This Row],[Energy Consumption]]</f>
        <v>29.820308965160624</v>
      </c>
    </row>
    <row r="19" spans="1:10" x14ac:dyDescent="0.3">
      <c r="A19" s="34" t="s">
        <v>19</v>
      </c>
      <c r="B19" s="34">
        <v>2022</v>
      </c>
      <c r="C19" s="34" t="s">
        <v>445</v>
      </c>
      <c r="D19" s="34">
        <v>80709.67502840003</v>
      </c>
      <c r="E19" s="34">
        <v>116670.11947499996</v>
      </c>
      <c r="F19" s="34">
        <v>108908.97990219999</v>
      </c>
      <c r="G19" s="34">
        <f t="shared" si="0"/>
        <v>306288.77440559998</v>
      </c>
      <c r="H19" s="34">
        <f>VLOOKUP(TRIM(Table7[[#This Row],[Facility Name]]),Table2[[Facility Name]:[Energy Consumption (MWh)]],3,FALSE)</f>
        <v>928.26</v>
      </c>
      <c r="I19" s="34">
        <f>VLOOKUP(Table7[[#This Row],[Facility Name]],Table2[[Facility Name]:[Production Volume (units)]],2,FALSE)</f>
        <v>27681</v>
      </c>
      <c r="J19" s="34">
        <f>Table7[[#This Row],[Production Volume]]/Table7[[#This Row],[Energy Consumption]]</f>
        <v>29.820308965160624</v>
      </c>
    </row>
    <row r="20" spans="1:10" x14ac:dyDescent="0.3">
      <c r="A20" s="34" t="s">
        <v>19</v>
      </c>
      <c r="B20" s="34">
        <v>2023</v>
      </c>
      <c r="C20" s="34" t="s">
        <v>444</v>
      </c>
      <c r="D20" s="34">
        <v>89017.78465500001</v>
      </c>
      <c r="E20" s="34">
        <v>108991.69502820002</v>
      </c>
      <c r="F20" s="34">
        <v>102520.34722130001</v>
      </c>
      <c r="G20" s="34">
        <f t="shared" si="0"/>
        <v>300529.82690450002</v>
      </c>
      <c r="H20" s="34">
        <f>VLOOKUP(TRIM(Table7[[#This Row],[Facility Name]]),Table2[[Facility Name]:[Energy Consumption (MWh)]],3,FALSE)</f>
        <v>928.26</v>
      </c>
      <c r="I20" s="34">
        <f>VLOOKUP(Table7[[#This Row],[Facility Name]],Table2[[Facility Name]:[Production Volume (units)]],2,FALSE)</f>
        <v>27681</v>
      </c>
      <c r="J20" s="34">
        <f>Table7[[#This Row],[Production Volume]]/Table7[[#This Row],[Energy Consumption]]</f>
        <v>29.820308965160624</v>
      </c>
    </row>
    <row r="21" spans="1:10" x14ac:dyDescent="0.3">
      <c r="A21" s="34" t="s">
        <v>19</v>
      </c>
      <c r="B21" s="34">
        <v>2023</v>
      </c>
      <c r="C21" s="34" t="s">
        <v>445</v>
      </c>
      <c r="D21" s="34">
        <v>119377.26824929999</v>
      </c>
      <c r="E21" s="34">
        <v>61467.318069999994</v>
      </c>
      <c r="F21" s="34">
        <v>80472.296287999983</v>
      </c>
      <c r="G21" s="34">
        <f t="shared" si="0"/>
        <v>261316.88260729998</v>
      </c>
      <c r="H21" s="34">
        <f>VLOOKUP(TRIM(Table7[[#This Row],[Facility Name]]),Table2[[Facility Name]:[Energy Consumption (MWh)]],3,FALSE)</f>
        <v>928.26</v>
      </c>
      <c r="I21" s="34">
        <f>VLOOKUP(Table7[[#This Row],[Facility Name]],Table2[[Facility Name]:[Production Volume (units)]],2,FALSE)</f>
        <v>27681</v>
      </c>
      <c r="J21" s="34">
        <f>Table7[[#This Row],[Production Volume]]/Table7[[#This Row],[Energy Consumption]]</f>
        <v>29.820308965160624</v>
      </c>
    </row>
    <row r="22" spans="1:10" x14ac:dyDescent="0.3">
      <c r="A22" s="34"/>
      <c r="B22" s="34"/>
      <c r="C22" s="34"/>
      <c r="D22" s="34"/>
      <c r="E22" s="34"/>
      <c r="F22" s="34"/>
      <c r="G22" s="34"/>
    </row>
    <row r="23" spans="1:10" x14ac:dyDescent="0.3">
      <c r="A23" s="34"/>
      <c r="B23" s="34"/>
      <c r="C23" s="34"/>
      <c r="D23" s="34"/>
      <c r="E23" s="34"/>
      <c r="F23" s="34"/>
      <c r="G23" s="34"/>
    </row>
    <row r="24" spans="1:10" x14ac:dyDescent="0.3">
      <c r="A24" s="34"/>
      <c r="B24" s="34"/>
      <c r="C24" s="34"/>
      <c r="D24" s="34"/>
      <c r="E24" s="34"/>
      <c r="F24" s="34"/>
      <c r="G24" s="34"/>
    </row>
    <row r="25" spans="1:10" x14ac:dyDescent="0.3">
      <c r="A25" s="34"/>
      <c r="B25" s="34"/>
      <c r="C25" s="34"/>
      <c r="D25" s="34"/>
      <c r="E25" s="34"/>
      <c r="F25" s="34"/>
      <c r="G25" s="34"/>
    </row>
    <row r="26" spans="1:10" x14ac:dyDescent="0.3">
      <c r="A26" s="34"/>
      <c r="B26" s="34"/>
      <c r="C26" s="34"/>
      <c r="D26" s="34"/>
      <c r="E26" s="34"/>
      <c r="F26" s="34"/>
      <c r="G26" s="34"/>
    </row>
    <row r="27" spans="1:10" x14ac:dyDescent="0.3">
      <c r="A27" s="34"/>
      <c r="B27" s="34"/>
      <c r="C27" s="34"/>
      <c r="D27" s="34"/>
      <c r="E27" s="34"/>
      <c r="F27" s="34"/>
      <c r="G27" s="34"/>
    </row>
    <row r="28" spans="1:10" x14ac:dyDescent="0.3">
      <c r="A28" s="34"/>
      <c r="B28" s="34"/>
      <c r="C28" s="34"/>
      <c r="D28" s="34"/>
      <c r="E28" s="34"/>
      <c r="F28" s="34"/>
      <c r="G28" s="34"/>
    </row>
    <row r="29" spans="1:10" x14ac:dyDescent="0.3">
      <c r="A29" s="34"/>
      <c r="B29" s="34"/>
      <c r="C29" s="34"/>
      <c r="D29" s="34"/>
      <c r="E29" s="34"/>
      <c r="F29" s="34"/>
      <c r="G29" s="34"/>
    </row>
    <row r="30" spans="1:10" x14ac:dyDescent="0.3">
      <c r="A30" s="34"/>
      <c r="B30" s="34"/>
      <c r="C30" s="34"/>
      <c r="D30" s="34"/>
      <c r="E30" s="34"/>
      <c r="F30" s="34"/>
      <c r="G30" s="34"/>
    </row>
    <row r="31" spans="1:10" x14ac:dyDescent="0.3">
      <c r="A31" s="34"/>
      <c r="B31" s="34"/>
      <c r="C31" s="34"/>
      <c r="D31" s="34"/>
      <c r="E31" s="34"/>
      <c r="F31" s="34"/>
      <c r="G31" s="34"/>
    </row>
    <row r="32" spans="1:10" x14ac:dyDescent="0.3">
      <c r="A32" s="34"/>
      <c r="B32" s="34"/>
      <c r="C32" s="34"/>
      <c r="D32" s="34"/>
      <c r="E32" s="34"/>
      <c r="F32" s="34"/>
      <c r="G32" s="34"/>
    </row>
    <row r="33" spans="1:7" x14ac:dyDescent="0.3">
      <c r="A33" s="34"/>
      <c r="B33" s="34"/>
      <c r="C33" s="34"/>
      <c r="D33" s="34"/>
      <c r="E33" s="34"/>
      <c r="F33" s="34"/>
      <c r="G33" s="34"/>
    </row>
    <row r="34" spans="1:7" x14ac:dyDescent="0.3">
      <c r="A34" s="34"/>
      <c r="B34" s="34"/>
      <c r="C34" s="34"/>
      <c r="D34" s="34"/>
      <c r="E34" s="34"/>
      <c r="F34" s="34"/>
      <c r="G34" s="34"/>
    </row>
    <row r="35" spans="1:7" x14ac:dyDescent="0.3">
      <c r="A35" s="34"/>
      <c r="B35" s="34"/>
      <c r="C35" s="34"/>
      <c r="D35" s="34"/>
      <c r="E35" s="34"/>
      <c r="F35" s="34"/>
      <c r="G35" s="34"/>
    </row>
    <row r="36" spans="1:7" x14ac:dyDescent="0.3">
      <c r="A36" s="34"/>
      <c r="B36" s="34"/>
      <c r="C36" s="34"/>
      <c r="D36" s="34"/>
      <c r="E36" s="34"/>
      <c r="F36" s="34"/>
      <c r="G36" s="34"/>
    </row>
    <row r="37" spans="1:7" x14ac:dyDescent="0.3">
      <c r="A37" s="34"/>
      <c r="B37" s="34"/>
      <c r="C37" s="34"/>
      <c r="D37" s="34"/>
      <c r="E37" s="34"/>
      <c r="F37" s="34"/>
      <c r="G37" s="34"/>
    </row>
    <row r="38" spans="1:7" x14ac:dyDescent="0.3">
      <c r="A38" s="34"/>
      <c r="B38" s="34"/>
      <c r="C38" s="34"/>
      <c r="D38" s="34"/>
      <c r="E38" s="34"/>
      <c r="F38" s="34"/>
      <c r="G38" s="34"/>
    </row>
    <row r="39" spans="1:7" x14ac:dyDescent="0.3">
      <c r="A39" s="34"/>
      <c r="B39" s="34"/>
      <c r="C39" s="34"/>
      <c r="D39" s="34"/>
      <c r="E39" s="34"/>
      <c r="F39" s="34"/>
      <c r="G39" s="34"/>
    </row>
    <row r="40" spans="1:7" x14ac:dyDescent="0.3">
      <c r="A40" s="34"/>
      <c r="B40" s="34"/>
      <c r="C40" s="34"/>
      <c r="D40" s="34"/>
      <c r="E40" s="34"/>
      <c r="F40" s="34"/>
      <c r="G40" s="34"/>
    </row>
    <row r="41" spans="1:7" x14ac:dyDescent="0.3">
      <c r="A41" s="34"/>
      <c r="B41" s="34"/>
      <c r="C41" s="34"/>
      <c r="D41" s="34"/>
      <c r="E41" s="34"/>
      <c r="F41" s="34"/>
      <c r="G41" s="34"/>
    </row>
    <row r="42" spans="1:7" x14ac:dyDescent="0.3">
      <c r="A42" s="34"/>
      <c r="B42" s="34"/>
      <c r="C42" s="34"/>
      <c r="D42" s="34"/>
      <c r="E42" s="34"/>
      <c r="F42" s="34"/>
      <c r="G42" s="34"/>
    </row>
    <row r="43" spans="1:7" x14ac:dyDescent="0.3">
      <c r="A43" s="34"/>
      <c r="B43" s="34"/>
      <c r="C43" s="34"/>
      <c r="D43" s="34"/>
      <c r="E43" s="34"/>
      <c r="F43" s="34"/>
      <c r="G43" s="34"/>
    </row>
    <row r="44" spans="1:7" x14ac:dyDescent="0.3">
      <c r="A44" s="34"/>
      <c r="B44" s="34"/>
      <c r="C44" s="34"/>
      <c r="D44" s="34"/>
      <c r="E44" s="34"/>
      <c r="F44" s="34"/>
      <c r="G44" s="34"/>
    </row>
    <row r="45" spans="1:7" x14ac:dyDescent="0.3">
      <c r="A45" s="34"/>
      <c r="B45" s="34"/>
      <c r="C45" s="34"/>
      <c r="D45" s="34"/>
      <c r="E45" s="34"/>
      <c r="F45" s="34"/>
      <c r="G45" s="34"/>
    </row>
    <row r="46" spans="1:7" x14ac:dyDescent="0.3">
      <c r="A46" s="34"/>
      <c r="B46" s="34"/>
      <c r="C46" s="34"/>
      <c r="D46" s="34"/>
      <c r="E46" s="34"/>
      <c r="F46" s="34"/>
      <c r="G46" s="34"/>
    </row>
    <row r="47" spans="1:7" x14ac:dyDescent="0.3">
      <c r="A47" s="34"/>
      <c r="B47" s="34"/>
      <c r="C47" s="34"/>
      <c r="D47" s="34"/>
      <c r="E47" s="34"/>
      <c r="F47" s="34"/>
      <c r="G47" s="34"/>
    </row>
    <row r="48" spans="1:7" x14ac:dyDescent="0.3">
      <c r="A48" s="34"/>
      <c r="B48" s="34"/>
      <c r="C48" s="34"/>
      <c r="D48" s="34"/>
      <c r="E48" s="34"/>
      <c r="F48" s="34"/>
      <c r="G48" s="34"/>
    </row>
    <row r="49" spans="1:7" x14ac:dyDescent="0.3">
      <c r="A49" s="34"/>
      <c r="B49" s="34"/>
      <c r="C49" s="34"/>
      <c r="D49" s="34"/>
      <c r="E49" s="34"/>
      <c r="F49" s="34"/>
      <c r="G49" s="34"/>
    </row>
    <row r="50" spans="1:7" x14ac:dyDescent="0.3">
      <c r="A50" s="34"/>
      <c r="B50" s="34"/>
      <c r="C50" s="34"/>
      <c r="D50" s="34"/>
      <c r="E50" s="34"/>
      <c r="F50" s="34"/>
      <c r="G50" s="34"/>
    </row>
    <row r="51" spans="1:7" x14ac:dyDescent="0.3">
      <c r="A51" s="34"/>
      <c r="B51" s="34"/>
      <c r="C51" s="34"/>
      <c r="D51" s="34"/>
      <c r="E51" s="34"/>
      <c r="F51" s="34"/>
      <c r="G51" s="34"/>
    </row>
    <row r="52" spans="1:7" x14ac:dyDescent="0.3">
      <c r="A52" s="34"/>
      <c r="B52" s="34"/>
      <c r="C52" s="34"/>
      <c r="D52" s="34"/>
      <c r="E52" s="34"/>
      <c r="F52" s="34"/>
      <c r="G52" s="34"/>
    </row>
    <row r="53" spans="1:7" x14ac:dyDescent="0.3">
      <c r="A53" s="34"/>
      <c r="B53" s="34"/>
      <c r="C53" s="34"/>
      <c r="D53" s="34"/>
      <c r="E53" s="34"/>
      <c r="F53" s="34"/>
      <c r="G53" s="34"/>
    </row>
    <row r="54" spans="1:7" x14ac:dyDescent="0.3">
      <c r="A54" s="34"/>
      <c r="B54" s="34"/>
      <c r="C54" s="34"/>
      <c r="D54" s="34"/>
      <c r="E54" s="34"/>
      <c r="F54" s="34"/>
      <c r="G54" s="34"/>
    </row>
    <row r="55" spans="1:7" x14ac:dyDescent="0.3">
      <c r="A55" s="34"/>
      <c r="B55" s="34"/>
      <c r="C55" s="34"/>
      <c r="D55" s="34"/>
      <c r="E55" s="34"/>
      <c r="F55" s="34"/>
      <c r="G55" s="34"/>
    </row>
    <row r="56" spans="1:7" x14ac:dyDescent="0.3">
      <c r="A56" s="34"/>
      <c r="B56" s="34"/>
      <c r="C56" s="34"/>
      <c r="D56" s="34"/>
      <c r="E56" s="34"/>
      <c r="F56" s="34"/>
      <c r="G56" s="34"/>
    </row>
    <row r="57" spans="1:7" x14ac:dyDescent="0.3">
      <c r="A57" s="34"/>
      <c r="B57" s="34"/>
      <c r="C57" s="34"/>
      <c r="D57" s="34"/>
      <c r="E57" s="34"/>
      <c r="F57" s="34"/>
      <c r="G57" s="34"/>
    </row>
    <row r="58" spans="1:7" x14ac:dyDescent="0.3">
      <c r="A58" s="34"/>
      <c r="B58" s="34"/>
      <c r="C58" s="34"/>
      <c r="D58" s="34"/>
      <c r="E58" s="34"/>
      <c r="F58" s="34"/>
      <c r="G58" s="34"/>
    </row>
    <row r="59" spans="1:7" x14ac:dyDescent="0.3">
      <c r="A59" s="34"/>
      <c r="B59" s="34"/>
      <c r="C59" s="34"/>
      <c r="D59" s="34"/>
      <c r="E59" s="34"/>
      <c r="F59" s="34"/>
      <c r="G59" s="34"/>
    </row>
    <row r="60" spans="1:7" x14ac:dyDescent="0.3">
      <c r="A60" s="34"/>
      <c r="B60" s="34"/>
      <c r="C60" s="34"/>
      <c r="D60" s="34"/>
      <c r="E60" s="34"/>
      <c r="F60" s="34"/>
      <c r="G60" s="34"/>
    </row>
    <row r="61" spans="1:7" x14ac:dyDescent="0.3">
      <c r="A61" s="34"/>
      <c r="B61" s="34"/>
      <c r="C61" s="34"/>
      <c r="D61" s="34"/>
      <c r="E61" s="34"/>
      <c r="F61" s="34"/>
      <c r="G61" s="34"/>
    </row>
    <row r="62" spans="1:7" x14ac:dyDescent="0.3">
      <c r="A62" s="34"/>
      <c r="B62" s="34"/>
      <c r="C62" s="34"/>
      <c r="D62" s="34"/>
      <c r="E62" s="34"/>
      <c r="F62" s="34"/>
      <c r="G62" s="34"/>
    </row>
    <row r="63" spans="1:7" x14ac:dyDescent="0.3">
      <c r="A63" s="34"/>
      <c r="B63" s="34"/>
      <c r="C63" s="34"/>
      <c r="D63" s="34"/>
      <c r="E63" s="34"/>
      <c r="F63" s="34"/>
      <c r="G63" s="34"/>
    </row>
    <row r="64" spans="1:7" x14ac:dyDescent="0.3">
      <c r="A64" s="34"/>
      <c r="B64" s="34"/>
      <c r="C64" s="34"/>
      <c r="D64" s="34"/>
      <c r="E64" s="34"/>
      <c r="F64" s="34"/>
      <c r="G64" s="34"/>
    </row>
    <row r="65" spans="1:7" x14ac:dyDescent="0.3">
      <c r="A65" s="34"/>
      <c r="B65" s="34"/>
      <c r="C65" s="34"/>
      <c r="D65" s="34"/>
      <c r="E65" s="34"/>
      <c r="F65" s="34"/>
      <c r="G65" s="34"/>
    </row>
    <row r="66" spans="1:7" x14ac:dyDescent="0.3">
      <c r="A66" s="34"/>
      <c r="B66" s="34"/>
      <c r="C66" s="34"/>
      <c r="D66" s="34"/>
      <c r="E66" s="34"/>
      <c r="F66" s="34"/>
      <c r="G66" s="34"/>
    </row>
    <row r="67" spans="1:7" x14ac:dyDescent="0.3">
      <c r="A67" s="34"/>
      <c r="B67" s="34"/>
      <c r="C67" s="34"/>
      <c r="D67" s="34"/>
      <c r="E67" s="34"/>
      <c r="F67" s="34"/>
      <c r="G67" s="34"/>
    </row>
    <row r="68" spans="1:7" x14ac:dyDescent="0.3">
      <c r="A68" s="34"/>
      <c r="B68" s="34"/>
      <c r="C68" s="34"/>
      <c r="D68" s="34"/>
      <c r="E68" s="34"/>
      <c r="F68" s="34"/>
      <c r="G68" s="34"/>
    </row>
    <row r="69" spans="1:7" x14ac:dyDescent="0.3">
      <c r="A69" s="34"/>
      <c r="B69" s="34"/>
      <c r="C69" s="34"/>
      <c r="D69" s="34"/>
      <c r="E69" s="34"/>
      <c r="F69" s="34"/>
      <c r="G69" s="34"/>
    </row>
    <row r="70" spans="1:7" x14ac:dyDescent="0.3">
      <c r="A70" s="34"/>
      <c r="B70" s="34"/>
      <c r="C70" s="34"/>
      <c r="D70" s="34"/>
      <c r="E70" s="34"/>
      <c r="F70" s="34"/>
      <c r="G70" s="34"/>
    </row>
    <row r="71" spans="1:7" x14ac:dyDescent="0.3">
      <c r="A71" s="34"/>
      <c r="B71" s="34"/>
      <c r="C71" s="34"/>
      <c r="D71" s="34"/>
      <c r="E71" s="34"/>
      <c r="F71" s="34"/>
      <c r="G71" s="34"/>
    </row>
    <row r="72" spans="1:7" x14ac:dyDescent="0.3">
      <c r="A72" s="34"/>
      <c r="B72" s="34"/>
      <c r="C72" s="34"/>
      <c r="D72" s="34"/>
      <c r="E72" s="34"/>
      <c r="F72" s="34"/>
      <c r="G72" s="34"/>
    </row>
    <row r="73" spans="1:7" x14ac:dyDescent="0.3">
      <c r="A73" s="34"/>
      <c r="B73" s="34"/>
      <c r="C73" s="34"/>
      <c r="D73" s="34"/>
      <c r="E73" s="34"/>
      <c r="F73" s="34"/>
      <c r="G73" s="34"/>
    </row>
    <row r="74" spans="1:7" x14ac:dyDescent="0.3">
      <c r="A74" s="34"/>
      <c r="B74" s="34"/>
      <c r="C74" s="34"/>
      <c r="D74" s="34"/>
      <c r="E74" s="34"/>
      <c r="F74" s="34"/>
      <c r="G74" s="34"/>
    </row>
    <row r="75" spans="1:7" x14ac:dyDescent="0.3">
      <c r="A75" s="34"/>
      <c r="B75" s="34"/>
      <c r="C75" s="34"/>
      <c r="D75" s="34"/>
      <c r="E75" s="34"/>
      <c r="F75" s="34"/>
      <c r="G75" s="34"/>
    </row>
    <row r="76" spans="1:7" x14ac:dyDescent="0.3">
      <c r="A76" s="34"/>
      <c r="B76" s="34"/>
      <c r="C76" s="34"/>
      <c r="D76" s="34"/>
      <c r="E76" s="34"/>
      <c r="F76" s="34"/>
      <c r="G76" s="34"/>
    </row>
    <row r="77" spans="1:7" x14ac:dyDescent="0.3">
      <c r="A77" s="34"/>
      <c r="B77" s="34"/>
      <c r="C77" s="34"/>
      <c r="D77" s="34"/>
      <c r="E77" s="34"/>
      <c r="F77" s="34"/>
      <c r="G77" s="34"/>
    </row>
    <row r="78" spans="1:7" x14ac:dyDescent="0.3">
      <c r="A78" s="34"/>
      <c r="B78" s="34"/>
      <c r="C78" s="34"/>
      <c r="D78" s="34"/>
      <c r="E78" s="34"/>
      <c r="F78" s="34"/>
      <c r="G78" s="34"/>
    </row>
    <row r="79" spans="1:7" x14ac:dyDescent="0.3">
      <c r="A79" s="34"/>
      <c r="B79" s="34"/>
      <c r="C79" s="34"/>
      <c r="D79" s="34"/>
      <c r="E79" s="34"/>
      <c r="F79" s="34"/>
      <c r="G79" s="34"/>
    </row>
    <row r="80" spans="1:7" x14ac:dyDescent="0.3">
      <c r="A80" s="34"/>
      <c r="B80" s="34"/>
      <c r="C80" s="34"/>
      <c r="D80" s="34"/>
      <c r="E80" s="34"/>
      <c r="F80" s="34"/>
      <c r="G80" s="34"/>
    </row>
    <row r="81" spans="1:7" x14ac:dyDescent="0.3">
      <c r="A81" s="34"/>
      <c r="B81" s="34"/>
      <c r="C81" s="34"/>
      <c r="D81" s="34"/>
      <c r="E81" s="34"/>
      <c r="F81" s="34"/>
      <c r="G81" s="34"/>
    </row>
    <row r="82" spans="1:7" x14ac:dyDescent="0.3">
      <c r="A82" s="34"/>
      <c r="B82" s="34"/>
      <c r="C82" s="34"/>
      <c r="D82" s="34"/>
      <c r="E82" s="34"/>
      <c r="F82" s="34"/>
      <c r="G82" s="34"/>
    </row>
    <row r="83" spans="1:7" x14ac:dyDescent="0.3">
      <c r="A83" s="34"/>
      <c r="B83" s="34"/>
      <c r="C83" s="34"/>
      <c r="D83" s="34"/>
      <c r="E83" s="34"/>
      <c r="F83" s="34"/>
      <c r="G83" s="34"/>
    </row>
    <row r="84" spans="1:7" x14ac:dyDescent="0.3">
      <c r="A84" s="34"/>
      <c r="B84" s="34"/>
      <c r="C84" s="34"/>
      <c r="D84" s="34"/>
      <c r="E84" s="34"/>
      <c r="F84" s="34"/>
      <c r="G84" s="34"/>
    </row>
    <row r="85" spans="1:7" x14ac:dyDescent="0.3">
      <c r="A85" s="34"/>
      <c r="B85" s="34"/>
      <c r="C85" s="34"/>
      <c r="D85" s="34"/>
      <c r="E85" s="34"/>
      <c r="F85" s="34"/>
      <c r="G85" s="34"/>
    </row>
    <row r="86" spans="1:7" x14ac:dyDescent="0.3">
      <c r="A86" s="34"/>
      <c r="B86" s="34"/>
      <c r="C86" s="34"/>
      <c r="D86" s="34"/>
      <c r="E86" s="34"/>
      <c r="F86" s="34"/>
      <c r="G86" s="34"/>
    </row>
    <row r="87" spans="1:7" x14ac:dyDescent="0.3">
      <c r="A87" s="34"/>
      <c r="B87" s="34"/>
      <c r="C87" s="34"/>
      <c r="D87" s="34"/>
      <c r="E87" s="34"/>
      <c r="F87" s="34"/>
      <c r="G87" s="34"/>
    </row>
    <row r="88" spans="1:7" x14ac:dyDescent="0.3">
      <c r="A88" s="34"/>
      <c r="B88" s="34"/>
      <c r="C88" s="34"/>
      <c r="D88" s="34"/>
      <c r="E88" s="34"/>
      <c r="F88" s="34"/>
      <c r="G88" s="34"/>
    </row>
    <row r="89" spans="1:7" x14ac:dyDescent="0.3">
      <c r="A89" s="34"/>
      <c r="B89" s="34"/>
      <c r="C89" s="34"/>
      <c r="D89" s="34"/>
      <c r="E89" s="34"/>
      <c r="F89" s="34"/>
      <c r="G89" s="34"/>
    </row>
    <row r="90" spans="1:7" x14ac:dyDescent="0.3">
      <c r="A90" s="34"/>
      <c r="B90" s="34"/>
      <c r="C90" s="34"/>
      <c r="D90" s="34"/>
      <c r="E90" s="34"/>
      <c r="F90" s="34"/>
      <c r="G90" s="34"/>
    </row>
    <row r="91" spans="1:7" x14ac:dyDescent="0.3">
      <c r="A91" s="34"/>
      <c r="B91" s="34"/>
      <c r="C91" s="34"/>
      <c r="D91" s="34"/>
      <c r="E91" s="34"/>
      <c r="F91" s="34"/>
      <c r="G91" s="34"/>
    </row>
    <row r="92" spans="1:7" x14ac:dyDescent="0.3">
      <c r="A92" s="34"/>
      <c r="B92" s="34"/>
      <c r="C92" s="34"/>
      <c r="D92" s="34"/>
      <c r="E92" s="34"/>
      <c r="F92" s="34"/>
      <c r="G92" s="34"/>
    </row>
    <row r="93" spans="1:7" x14ac:dyDescent="0.3">
      <c r="A93" s="34"/>
      <c r="B93" s="34"/>
      <c r="C93" s="34"/>
      <c r="D93" s="34"/>
      <c r="E93" s="34"/>
      <c r="F93" s="34"/>
      <c r="G93" s="34"/>
    </row>
    <row r="94" spans="1:7" x14ac:dyDescent="0.3">
      <c r="A94" s="34"/>
      <c r="B94" s="34"/>
      <c r="C94" s="34"/>
      <c r="D94" s="34"/>
      <c r="E94" s="34"/>
      <c r="F94" s="34"/>
      <c r="G94" s="34"/>
    </row>
    <row r="95" spans="1:7" x14ac:dyDescent="0.3">
      <c r="A95" s="34"/>
      <c r="B95" s="34"/>
      <c r="C95" s="34"/>
      <c r="D95" s="34"/>
      <c r="E95" s="34"/>
      <c r="F95" s="34"/>
      <c r="G95" s="34"/>
    </row>
    <row r="96" spans="1:7" x14ac:dyDescent="0.3">
      <c r="A96" s="34"/>
      <c r="B96" s="34"/>
      <c r="C96" s="34"/>
      <c r="D96" s="34"/>
      <c r="E96" s="34"/>
      <c r="F96" s="34"/>
      <c r="G96" s="34"/>
    </row>
    <row r="97" spans="1:7" x14ac:dyDescent="0.3">
      <c r="A97" s="34"/>
      <c r="B97" s="34"/>
      <c r="C97" s="34"/>
      <c r="D97" s="34"/>
      <c r="E97" s="34"/>
      <c r="F97" s="34"/>
      <c r="G97" s="34"/>
    </row>
    <row r="98" spans="1:7" x14ac:dyDescent="0.3">
      <c r="A98" s="34"/>
      <c r="B98" s="34"/>
      <c r="C98" s="34"/>
      <c r="D98" s="34"/>
      <c r="E98" s="34"/>
      <c r="F98" s="34"/>
      <c r="G98" s="34"/>
    </row>
    <row r="99" spans="1:7" x14ac:dyDescent="0.3">
      <c r="A99" s="34"/>
      <c r="B99" s="34"/>
      <c r="C99" s="34"/>
      <c r="D99" s="34"/>
      <c r="E99" s="34"/>
      <c r="F99" s="34"/>
      <c r="G99" s="34"/>
    </row>
    <row r="100" spans="1:7" x14ac:dyDescent="0.3">
      <c r="A100" s="34"/>
      <c r="B100" s="34"/>
      <c r="C100" s="34"/>
      <c r="D100" s="34"/>
      <c r="E100" s="34"/>
      <c r="F100" s="34"/>
      <c r="G100" s="34"/>
    </row>
    <row r="101" spans="1:7" x14ac:dyDescent="0.3">
      <c r="A101" s="34"/>
      <c r="B101" s="34"/>
      <c r="C101" s="34"/>
      <c r="D101" s="34"/>
      <c r="E101" s="34"/>
      <c r="F101" s="34"/>
      <c r="G101" s="34"/>
    </row>
    <row r="102" spans="1:7" x14ac:dyDescent="0.3">
      <c r="A102" s="34"/>
      <c r="B102" s="34"/>
      <c r="C102" s="34"/>
      <c r="D102" s="34"/>
      <c r="E102" s="34"/>
      <c r="F102" s="34"/>
      <c r="G102" s="34"/>
    </row>
    <row r="103" spans="1:7" x14ac:dyDescent="0.3">
      <c r="A103" s="34"/>
      <c r="B103" s="34"/>
      <c r="C103" s="34"/>
      <c r="D103" s="34"/>
      <c r="E103" s="34"/>
      <c r="F103" s="34"/>
      <c r="G103" s="34"/>
    </row>
    <row r="104" spans="1:7" x14ac:dyDescent="0.3">
      <c r="A104" s="34"/>
      <c r="B104" s="34"/>
      <c r="C104" s="34"/>
      <c r="D104" s="34"/>
      <c r="E104" s="34"/>
      <c r="F104" s="34"/>
      <c r="G104" s="34"/>
    </row>
    <row r="105" spans="1:7" x14ac:dyDescent="0.3">
      <c r="A105" s="34"/>
      <c r="B105" s="34"/>
      <c r="C105" s="34"/>
      <c r="D105" s="34"/>
      <c r="E105" s="34"/>
      <c r="F105" s="34"/>
      <c r="G105" s="34"/>
    </row>
    <row r="106" spans="1:7" x14ac:dyDescent="0.3">
      <c r="A106" s="34"/>
      <c r="B106" s="34"/>
      <c r="C106" s="34"/>
      <c r="D106" s="34"/>
      <c r="E106" s="34"/>
      <c r="F106" s="34"/>
      <c r="G106" s="34"/>
    </row>
    <row r="107" spans="1:7" x14ac:dyDescent="0.3">
      <c r="A107" s="34"/>
      <c r="B107" s="34"/>
      <c r="C107" s="34"/>
      <c r="D107" s="34"/>
      <c r="E107" s="34"/>
      <c r="F107" s="34"/>
      <c r="G107" s="34"/>
    </row>
    <row r="108" spans="1:7" x14ac:dyDescent="0.3">
      <c r="A108" s="34"/>
      <c r="B108" s="34"/>
      <c r="C108" s="34"/>
      <c r="D108" s="34"/>
      <c r="E108" s="34"/>
      <c r="F108" s="34"/>
      <c r="G108" s="34"/>
    </row>
    <row r="109" spans="1:7" x14ac:dyDescent="0.3">
      <c r="A109" s="34"/>
      <c r="B109" s="34"/>
      <c r="C109" s="34"/>
      <c r="D109" s="34"/>
      <c r="E109" s="34"/>
      <c r="F109" s="34"/>
      <c r="G109" s="34"/>
    </row>
    <row r="110" spans="1:7" x14ac:dyDescent="0.3">
      <c r="A110" s="34"/>
      <c r="B110" s="34"/>
      <c r="C110" s="34"/>
      <c r="D110" s="34"/>
      <c r="E110" s="34"/>
      <c r="F110" s="34"/>
      <c r="G110" s="34"/>
    </row>
    <row r="111" spans="1:7" x14ac:dyDescent="0.3">
      <c r="A111" s="34"/>
      <c r="B111" s="34"/>
      <c r="C111" s="34"/>
      <c r="D111" s="34"/>
      <c r="E111" s="34"/>
      <c r="F111" s="34"/>
      <c r="G111" s="34"/>
    </row>
    <row r="112" spans="1:7" x14ac:dyDescent="0.3">
      <c r="A112" s="34"/>
      <c r="B112" s="34"/>
      <c r="C112" s="34"/>
      <c r="D112" s="34"/>
      <c r="E112" s="34"/>
      <c r="F112" s="34"/>
      <c r="G112" s="34"/>
    </row>
    <row r="113" spans="1:7" x14ac:dyDescent="0.3">
      <c r="A113" s="34"/>
      <c r="B113" s="34"/>
      <c r="C113" s="34"/>
      <c r="D113" s="34"/>
      <c r="E113" s="34"/>
      <c r="F113" s="34"/>
      <c r="G113" s="34"/>
    </row>
    <row r="114" spans="1:7" x14ac:dyDescent="0.3">
      <c r="A114" s="34"/>
      <c r="B114" s="34"/>
      <c r="C114" s="34"/>
      <c r="D114" s="34"/>
      <c r="E114" s="34"/>
      <c r="F114" s="34"/>
      <c r="G114" s="34"/>
    </row>
    <row r="115" spans="1:7" x14ac:dyDescent="0.3">
      <c r="A115" s="34"/>
      <c r="B115" s="34"/>
      <c r="C115" s="34"/>
      <c r="D115" s="34"/>
      <c r="E115" s="34"/>
      <c r="F115" s="34"/>
      <c r="G115" s="34"/>
    </row>
    <row r="116" spans="1:7" x14ac:dyDescent="0.3">
      <c r="A116" s="34"/>
      <c r="B116" s="34"/>
      <c r="C116" s="34"/>
      <c r="D116" s="34"/>
      <c r="E116" s="34"/>
      <c r="F116" s="34"/>
      <c r="G116" s="34"/>
    </row>
    <row r="117" spans="1:7" x14ac:dyDescent="0.3">
      <c r="A117" s="34"/>
      <c r="B117" s="34"/>
      <c r="C117" s="34"/>
      <c r="D117" s="34"/>
      <c r="E117" s="34"/>
      <c r="F117" s="34"/>
      <c r="G117" s="34"/>
    </row>
    <row r="118" spans="1:7" x14ac:dyDescent="0.3">
      <c r="A118" s="34"/>
      <c r="B118" s="34"/>
      <c r="C118" s="34"/>
      <c r="D118" s="34"/>
      <c r="E118" s="34"/>
      <c r="F118" s="34"/>
      <c r="G118" s="34"/>
    </row>
    <row r="119" spans="1:7" x14ac:dyDescent="0.3">
      <c r="A119" s="34"/>
      <c r="B119" s="34"/>
      <c r="C119" s="34"/>
      <c r="D119" s="34"/>
      <c r="E119" s="34"/>
      <c r="F119" s="34"/>
      <c r="G119" s="34"/>
    </row>
    <row r="120" spans="1:7" x14ac:dyDescent="0.3">
      <c r="A120" s="34"/>
      <c r="B120" s="34"/>
      <c r="C120" s="34"/>
      <c r="D120" s="34"/>
      <c r="E120" s="34"/>
      <c r="F120" s="34"/>
      <c r="G120" s="34"/>
    </row>
    <row r="121" spans="1:7" x14ac:dyDescent="0.3">
      <c r="A121" s="34"/>
      <c r="B121" s="34"/>
      <c r="C121" s="34"/>
      <c r="D121" s="34"/>
      <c r="E121" s="34"/>
      <c r="F121" s="34"/>
      <c r="G121" s="34"/>
    </row>
    <row r="122" spans="1:7" x14ac:dyDescent="0.3">
      <c r="A122" s="34"/>
      <c r="B122" s="34"/>
      <c r="C122" s="34"/>
      <c r="D122" s="34"/>
      <c r="E122" s="34"/>
      <c r="F122" s="34"/>
      <c r="G122" s="34"/>
    </row>
    <row r="123" spans="1:7" x14ac:dyDescent="0.3">
      <c r="A123" s="34"/>
      <c r="B123" s="34"/>
      <c r="C123" s="34"/>
      <c r="D123" s="34"/>
      <c r="E123" s="34"/>
      <c r="F123" s="34"/>
      <c r="G123" s="34"/>
    </row>
    <row r="124" spans="1:7" x14ac:dyDescent="0.3">
      <c r="A124" s="34"/>
      <c r="B124" s="34"/>
      <c r="C124" s="34"/>
      <c r="D124" s="34"/>
      <c r="E124" s="34"/>
      <c r="F124" s="34"/>
      <c r="G124" s="34"/>
    </row>
    <row r="125" spans="1:7" x14ac:dyDescent="0.3">
      <c r="A125" s="34"/>
      <c r="B125" s="34"/>
      <c r="C125" s="34"/>
      <c r="D125" s="34"/>
      <c r="E125" s="34"/>
      <c r="F125" s="34"/>
      <c r="G125" s="34"/>
    </row>
    <row r="126" spans="1:7" x14ac:dyDescent="0.3">
      <c r="A126" s="34"/>
      <c r="B126" s="34"/>
      <c r="C126" s="34"/>
      <c r="D126" s="34"/>
      <c r="E126" s="34"/>
      <c r="F126" s="34"/>
      <c r="G126" s="34"/>
    </row>
    <row r="127" spans="1:7" x14ac:dyDescent="0.3">
      <c r="A127" s="34"/>
      <c r="B127" s="34"/>
      <c r="C127" s="34"/>
      <c r="D127" s="34"/>
      <c r="E127" s="34"/>
      <c r="F127" s="34"/>
      <c r="G127" s="34"/>
    </row>
    <row r="128" spans="1:7" x14ac:dyDescent="0.3">
      <c r="A128" s="34"/>
      <c r="B128" s="34"/>
      <c r="C128" s="34"/>
      <c r="D128" s="34"/>
      <c r="E128" s="34"/>
      <c r="F128" s="34"/>
      <c r="G128" s="34"/>
    </row>
    <row r="129" spans="1:7" x14ac:dyDescent="0.3">
      <c r="A129" s="34"/>
      <c r="B129" s="34"/>
      <c r="C129" s="34"/>
      <c r="D129" s="34"/>
      <c r="E129" s="34"/>
      <c r="F129" s="34"/>
      <c r="G129" s="34"/>
    </row>
    <row r="130" spans="1:7" x14ac:dyDescent="0.3">
      <c r="A130" s="34"/>
      <c r="B130" s="34"/>
      <c r="C130" s="34"/>
      <c r="D130" s="34"/>
      <c r="E130" s="34"/>
      <c r="F130" s="34"/>
      <c r="G130" s="34"/>
    </row>
    <row r="131" spans="1:7" x14ac:dyDescent="0.3">
      <c r="A131" s="34"/>
      <c r="B131" s="34"/>
      <c r="C131" s="34"/>
      <c r="D131" s="34"/>
      <c r="E131" s="34"/>
      <c r="F131" s="34"/>
      <c r="G131" s="34"/>
    </row>
    <row r="132" spans="1:7" x14ac:dyDescent="0.3">
      <c r="A132" s="34"/>
      <c r="B132" s="34"/>
      <c r="C132" s="34"/>
      <c r="D132" s="34"/>
      <c r="E132" s="34"/>
      <c r="F132" s="34"/>
      <c r="G132" s="34"/>
    </row>
    <row r="133" spans="1:7" x14ac:dyDescent="0.3">
      <c r="A133" s="34"/>
      <c r="B133" s="34"/>
      <c r="C133" s="34"/>
      <c r="D133" s="34"/>
      <c r="E133" s="34"/>
      <c r="F133" s="34"/>
      <c r="G133" s="34"/>
    </row>
    <row r="134" spans="1:7" x14ac:dyDescent="0.3">
      <c r="A134" s="34"/>
      <c r="B134" s="34"/>
      <c r="C134" s="34"/>
      <c r="D134" s="34"/>
      <c r="E134" s="34"/>
      <c r="F134" s="34"/>
      <c r="G134" s="34"/>
    </row>
    <row r="135" spans="1:7" x14ac:dyDescent="0.3">
      <c r="A135" s="34"/>
      <c r="B135" s="34"/>
      <c r="C135" s="34"/>
      <c r="D135" s="34"/>
      <c r="E135" s="34"/>
      <c r="F135" s="34"/>
      <c r="G135" s="34"/>
    </row>
    <row r="136" spans="1:7" x14ac:dyDescent="0.3">
      <c r="A136" s="34"/>
      <c r="B136" s="34"/>
      <c r="C136" s="34"/>
      <c r="D136" s="34"/>
      <c r="E136" s="34"/>
      <c r="F136" s="34"/>
      <c r="G136" s="34"/>
    </row>
    <row r="137" spans="1:7" x14ac:dyDescent="0.3">
      <c r="A137" s="34"/>
      <c r="B137" s="34"/>
      <c r="C137" s="34"/>
      <c r="D137" s="34"/>
      <c r="E137" s="34"/>
      <c r="F137" s="34"/>
      <c r="G137" s="34"/>
    </row>
    <row r="138" spans="1:7" x14ac:dyDescent="0.3">
      <c r="A138" s="34"/>
      <c r="B138" s="34"/>
      <c r="C138" s="34"/>
      <c r="D138" s="34"/>
      <c r="E138" s="34"/>
      <c r="F138" s="34"/>
      <c r="G138" s="34"/>
    </row>
    <row r="139" spans="1:7" x14ac:dyDescent="0.3">
      <c r="A139" s="34"/>
      <c r="B139" s="34"/>
      <c r="C139" s="34"/>
      <c r="D139" s="34"/>
      <c r="E139" s="34"/>
      <c r="F139" s="34"/>
      <c r="G139" s="34"/>
    </row>
    <row r="140" spans="1:7" x14ac:dyDescent="0.3">
      <c r="A140" s="34"/>
      <c r="B140" s="34"/>
      <c r="C140" s="34"/>
      <c r="D140" s="34"/>
      <c r="E140" s="34"/>
      <c r="F140" s="34"/>
      <c r="G140" s="34"/>
    </row>
    <row r="141" spans="1:7" x14ac:dyDescent="0.3">
      <c r="A141" s="34"/>
      <c r="B141" s="34"/>
      <c r="C141" s="34"/>
      <c r="D141" s="34"/>
      <c r="E141" s="34"/>
      <c r="F141" s="34"/>
      <c r="G141" s="34"/>
    </row>
    <row r="142" spans="1:7" x14ac:dyDescent="0.3">
      <c r="A142" s="34"/>
      <c r="B142" s="34"/>
      <c r="C142" s="34"/>
      <c r="D142" s="34"/>
      <c r="E142" s="34"/>
      <c r="F142" s="34"/>
      <c r="G142" s="34"/>
    </row>
    <row r="143" spans="1:7" x14ac:dyDescent="0.3">
      <c r="A143" s="34"/>
      <c r="B143" s="34"/>
      <c r="C143" s="34"/>
      <c r="D143" s="34"/>
      <c r="E143" s="34"/>
      <c r="F143" s="34"/>
      <c r="G143" s="34"/>
    </row>
    <row r="144" spans="1:7" x14ac:dyDescent="0.3">
      <c r="A144" s="34"/>
      <c r="B144" s="34"/>
      <c r="C144" s="34"/>
      <c r="D144" s="34"/>
      <c r="E144" s="34"/>
      <c r="F144" s="34"/>
      <c r="G144" s="34"/>
    </row>
    <row r="145" spans="1:7" x14ac:dyDescent="0.3">
      <c r="A145" s="34"/>
      <c r="B145" s="34"/>
      <c r="C145" s="34"/>
      <c r="D145" s="34"/>
      <c r="E145" s="34"/>
      <c r="F145" s="34"/>
      <c r="G145" s="34"/>
    </row>
    <row r="146" spans="1:7" x14ac:dyDescent="0.3">
      <c r="A146" s="34"/>
      <c r="B146" s="34"/>
      <c r="C146" s="34"/>
      <c r="D146" s="34"/>
      <c r="E146" s="34"/>
      <c r="F146" s="34"/>
      <c r="G146" s="34"/>
    </row>
    <row r="147" spans="1:7" x14ac:dyDescent="0.3">
      <c r="A147" s="34"/>
      <c r="B147" s="34"/>
      <c r="C147" s="34"/>
      <c r="D147" s="34"/>
      <c r="E147" s="34"/>
      <c r="F147" s="34"/>
      <c r="G147" s="34"/>
    </row>
    <row r="148" spans="1:7" x14ac:dyDescent="0.3">
      <c r="A148" s="34"/>
      <c r="B148" s="34"/>
      <c r="C148" s="34"/>
      <c r="D148" s="34"/>
      <c r="E148" s="34"/>
      <c r="F148" s="34"/>
      <c r="G148" s="34"/>
    </row>
    <row r="149" spans="1:7" x14ac:dyDescent="0.3">
      <c r="A149" s="34"/>
      <c r="B149" s="34"/>
      <c r="C149" s="34"/>
      <c r="D149" s="34"/>
      <c r="E149" s="34"/>
      <c r="F149" s="34"/>
      <c r="G149" s="34"/>
    </row>
    <row r="150" spans="1:7" x14ac:dyDescent="0.3">
      <c r="A150" s="34"/>
      <c r="B150" s="34"/>
      <c r="C150" s="34"/>
      <c r="D150" s="34"/>
      <c r="E150" s="34"/>
      <c r="F150" s="34"/>
      <c r="G150" s="34"/>
    </row>
    <row r="151" spans="1:7" x14ac:dyDescent="0.3">
      <c r="A151" s="34"/>
      <c r="B151" s="34"/>
      <c r="C151" s="34"/>
      <c r="D151" s="34"/>
      <c r="E151" s="34"/>
      <c r="F151" s="34"/>
      <c r="G151" s="34"/>
    </row>
    <row r="152" spans="1:7" x14ac:dyDescent="0.3">
      <c r="A152" s="34"/>
      <c r="B152" s="34"/>
      <c r="C152" s="34"/>
      <c r="D152" s="34"/>
      <c r="E152" s="34"/>
      <c r="F152" s="34"/>
      <c r="G152" s="34"/>
    </row>
    <row r="153" spans="1:7" x14ac:dyDescent="0.3">
      <c r="A153" s="34"/>
      <c r="B153" s="34"/>
      <c r="C153" s="34"/>
      <c r="D153" s="34"/>
      <c r="E153" s="34"/>
      <c r="F153" s="34"/>
      <c r="G153" s="34"/>
    </row>
    <row r="154" spans="1:7" x14ac:dyDescent="0.3">
      <c r="A154" s="34"/>
      <c r="B154" s="34"/>
      <c r="C154" s="34"/>
      <c r="D154" s="34"/>
      <c r="E154" s="34"/>
      <c r="F154" s="34"/>
      <c r="G154" s="34"/>
    </row>
    <row r="155" spans="1:7" x14ac:dyDescent="0.3">
      <c r="A155" s="34"/>
      <c r="B155" s="34"/>
      <c r="C155" s="34"/>
      <c r="D155" s="34"/>
      <c r="E155" s="34"/>
      <c r="F155" s="34"/>
      <c r="G155" s="34"/>
    </row>
    <row r="156" spans="1:7" x14ac:dyDescent="0.3">
      <c r="A156" s="34"/>
      <c r="B156" s="34"/>
      <c r="C156" s="34"/>
      <c r="D156" s="34"/>
      <c r="E156" s="34"/>
      <c r="F156" s="34"/>
      <c r="G156" s="34"/>
    </row>
    <row r="157" spans="1:7" x14ac:dyDescent="0.3">
      <c r="A157" s="34"/>
      <c r="B157" s="34"/>
      <c r="C157" s="34"/>
      <c r="D157" s="34"/>
      <c r="E157" s="34"/>
      <c r="F157" s="34"/>
      <c r="G157" s="34"/>
    </row>
    <row r="158" spans="1:7" x14ac:dyDescent="0.3">
      <c r="A158" s="34"/>
      <c r="B158" s="34"/>
      <c r="C158" s="34"/>
      <c r="D158" s="34"/>
      <c r="E158" s="34"/>
      <c r="F158" s="34"/>
      <c r="G158" s="34"/>
    </row>
    <row r="159" spans="1:7" x14ac:dyDescent="0.3">
      <c r="A159" s="34"/>
      <c r="B159" s="34"/>
      <c r="C159" s="34"/>
      <c r="D159" s="34"/>
      <c r="E159" s="34"/>
      <c r="F159" s="34"/>
      <c r="G159" s="34"/>
    </row>
    <row r="160" spans="1:7" x14ac:dyDescent="0.3">
      <c r="A160" s="34"/>
      <c r="B160" s="34"/>
      <c r="C160" s="34"/>
      <c r="D160" s="34"/>
      <c r="E160" s="34"/>
      <c r="F160" s="34"/>
      <c r="G160" s="34"/>
    </row>
    <row r="161" spans="1:7" x14ac:dyDescent="0.3">
      <c r="A161" s="34"/>
      <c r="B161" s="34"/>
      <c r="C161" s="34"/>
      <c r="D161" s="34"/>
      <c r="E161" s="34"/>
      <c r="F161" s="34"/>
      <c r="G161" s="34"/>
    </row>
    <row r="162" spans="1:7" x14ac:dyDescent="0.3">
      <c r="A162" s="34"/>
      <c r="B162" s="34"/>
      <c r="C162" s="34"/>
      <c r="D162" s="34"/>
      <c r="E162" s="34"/>
      <c r="F162" s="34"/>
      <c r="G162" s="34"/>
    </row>
    <row r="163" spans="1:7" x14ac:dyDescent="0.3">
      <c r="A163" s="34"/>
      <c r="B163" s="34"/>
      <c r="C163" s="34"/>
      <c r="D163" s="34"/>
      <c r="E163" s="34"/>
      <c r="F163" s="34"/>
      <c r="G163" s="34"/>
    </row>
    <row r="164" spans="1:7" x14ac:dyDescent="0.3">
      <c r="A164" s="34"/>
      <c r="B164" s="34"/>
      <c r="C164" s="34"/>
      <c r="D164" s="34"/>
      <c r="E164" s="34"/>
      <c r="F164" s="34"/>
      <c r="G164" s="34"/>
    </row>
    <row r="165" spans="1:7" x14ac:dyDescent="0.3">
      <c r="A165" s="34"/>
      <c r="B165" s="34"/>
      <c r="C165" s="34"/>
      <c r="D165" s="34"/>
      <c r="E165" s="34"/>
      <c r="F165" s="34"/>
      <c r="G165" s="34"/>
    </row>
    <row r="166" spans="1:7" x14ac:dyDescent="0.3">
      <c r="A166" s="34"/>
      <c r="B166" s="34"/>
      <c r="C166" s="34"/>
      <c r="D166" s="34"/>
      <c r="E166" s="34"/>
      <c r="F166" s="34"/>
      <c r="G166" s="34"/>
    </row>
    <row r="167" spans="1:7" x14ac:dyDescent="0.3">
      <c r="A167" s="34"/>
      <c r="B167" s="34"/>
      <c r="C167" s="34"/>
      <c r="D167" s="34"/>
      <c r="E167" s="34"/>
      <c r="F167" s="34"/>
      <c r="G167" s="34"/>
    </row>
    <row r="168" spans="1:7" x14ac:dyDescent="0.3">
      <c r="A168" s="34"/>
      <c r="B168" s="34"/>
      <c r="C168" s="34"/>
      <c r="D168" s="34"/>
      <c r="E168" s="34"/>
      <c r="F168" s="34"/>
      <c r="G168" s="34"/>
    </row>
    <row r="169" spans="1:7" x14ac:dyDescent="0.3">
      <c r="A169" s="34"/>
      <c r="B169" s="34"/>
      <c r="C169" s="34"/>
      <c r="D169" s="34"/>
      <c r="E169" s="34"/>
      <c r="F169" s="34"/>
      <c r="G169" s="34"/>
    </row>
    <row r="170" spans="1:7" x14ac:dyDescent="0.3">
      <c r="A170" s="34"/>
      <c r="B170" s="34"/>
      <c r="C170" s="34"/>
      <c r="D170" s="34"/>
      <c r="E170" s="34"/>
      <c r="F170" s="34"/>
      <c r="G170" s="34"/>
    </row>
    <row r="171" spans="1:7" x14ac:dyDescent="0.3">
      <c r="A171" s="34"/>
      <c r="B171" s="34"/>
      <c r="C171" s="34"/>
      <c r="D171" s="34"/>
      <c r="E171" s="34"/>
      <c r="F171" s="34"/>
      <c r="G171" s="34"/>
    </row>
    <row r="172" spans="1:7" x14ac:dyDescent="0.3">
      <c r="A172" s="34"/>
      <c r="B172" s="34"/>
      <c r="C172" s="34"/>
      <c r="D172" s="34"/>
      <c r="E172" s="34"/>
      <c r="F172" s="34"/>
      <c r="G172" s="34"/>
    </row>
    <row r="173" spans="1:7" x14ac:dyDescent="0.3">
      <c r="A173" s="34"/>
      <c r="B173" s="34"/>
      <c r="C173" s="34"/>
      <c r="D173" s="34"/>
      <c r="E173" s="34"/>
      <c r="F173" s="34"/>
      <c r="G173" s="34"/>
    </row>
    <row r="174" spans="1:7" x14ac:dyDescent="0.3">
      <c r="A174" s="34"/>
      <c r="B174" s="34"/>
      <c r="C174" s="34"/>
      <c r="D174" s="34"/>
      <c r="E174" s="34"/>
      <c r="F174" s="34"/>
      <c r="G174" s="34"/>
    </row>
    <row r="175" spans="1:7" x14ac:dyDescent="0.3">
      <c r="A175" s="34"/>
      <c r="B175" s="34"/>
      <c r="C175" s="34"/>
      <c r="D175" s="34"/>
      <c r="E175" s="34"/>
      <c r="F175" s="34"/>
      <c r="G175" s="34"/>
    </row>
    <row r="176" spans="1:7" x14ac:dyDescent="0.3">
      <c r="A176" s="34"/>
      <c r="B176" s="34"/>
      <c r="C176" s="34"/>
      <c r="D176" s="34"/>
      <c r="E176" s="34"/>
      <c r="F176" s="34"/>
      <c r="G176" s="34"/>
    </row>
    <row r="177" spans="1:7" x14ac:dyDescent="0.3">
      <c r="A177" s="34"/>
      <c r="B177" s="34"/>
      <c r="C177" s="34"/>
      <c r="D177" s="34"/>
      <c r="E177" s="34"/>
      <c r="F177" s="34"/>
      <c r="G177" s="34"/>
    </row>
    <row r="178" spans="1:7" x14ac:dyDescent="0.3">
      <c r="A178" s="34"/>
      <c r="B178" s="34"/>
      <c r="C178" s="34"/>
      <c r="D178" s="34"/>
      <c r="E178" s="34"/>
      <c r="F178" s="34"/>
      <c r="G178" s="34"/>
    </row>
    <row r="179" spans="1:7" x14ac:dyDescent="0.3">
      <c r="A179" s="34"/>
      <c r="B179" s="34"/>
      <c r="C179" s="34"/>
      <c r="D179" s="34"/>
      <c r="E179" s="34"/>
      <c r="F179" s="34"/>
      <c r="G179" s="34"/>
    </row>
    <row r="180" spans="1:7" x14ac:dyDescent="0.3">
      <c r="A180" s="34"/>
      <c r="B180" s="34"/>
      <c r="C180" s="34"/>
      <c r="D180" s="34"/>
      <c r="E180" s="34"/>
      <c r="F180" s="34"/>
      <c r="G180" s="34"/>
    </row>
    <row r="181" spans="1:7" x14ac:dyDescent="0.3">
      <c r="A181" s="34"/>
      <c r="B181" s="34"/>
      <c r="C181" s="34"/>
      <c r="D181" s="34"/>
      <c r="E181" s="34"/>
      <c r="F181" s="34"/>
      <c r="G181" s="34"/>
    </row>
    <row r="182" spans="1:7" x14ac:dyDescent="0.3">
      <c r="A182" s="34"/>
      <c r="B182" s="34"/>
      <c r="C182" s="34"/>
      <c r="D182" s="34"/>
      <c r="E182" s="34"/>
      <c r="F182" s="34"/>
      <c r="G182" s="34"/>
    </row>
    <row r="183" spans="1:7" x14ac:dyDescent="0.3">
      <c r="A183" s="34"/>
      <c r="B183" s="34"/>
      <c r="C183" s="34"/>
      <c r="D183" s="34"/>
      <c r="E183" s="34"/>
      <c r="F183" s="34"/>
      <c r="G183" s="34"/>
    </row>
    <row r="184" spans="1:7" x14ac:dyDescent="0.3">
      <c r="A184" s="34"/>
      <c r="B184" s="34"/>
      <c r="C184" s="34"/>
      <c r="D184" s="34"/>
      <c r="E184" s="34"/>
      <c r="F184" s="34"/>
      <c r="G184" s="34"/>
    </row>
    <row r="185" spans="1:7" x14ac:dyDescent="0.3">
      <c r="A185" s="34"/>
      <c r="B185" s="34"/>
      <c r="C185" s="34"/>
      <c r="D185" s="34"/>
      <c r="E185" s="34"/>
      <c r="F185" s="34"/>
      <c r="G185" s="34"/>
    </row>
    <row r="186" spans="1:7" x14ac:dyDescent="0.3">
      <c r="A186" s="34"/>
      <c r="B186" s="34"/>
      <c r="C186" s="34"/>
      <c r="D186" s="34"/>
      <c r="E186" s="34"/>
      <c r="F186" s="34"/>
      <c r="G186" s="34"/>
    </row>
    <row r="187" spans="1:7" x14ac:dyDescent="0.3">
      <c r="A187" s="34"/>
      <c r="B187" s="34"/>
      <c r="C187" s="34"/>
      <c r="D187" s="34"/>
      <c r="E187" s="34"/>
      <c r="F187" s="34"/>
      <c r="G187" s="34"/>
    </row>
    <row r="188" spans="1:7" x14ac:dyDescent="0.3">
      <c r="A188" s="34"/>
      <c r="B188" s="34"/>
      <c r="C188" s="34"/>
      <c r="D188" s="34"/>
      <c r="E188" s="34"/>
      <c r="F188" s="34"/>
      <c r="G188" s="34"/>
    </row>
    <row r="189" spans="1:7" x14ac:dyDescent="0.3">
      <c r="A189" s="34"/>
      <c r="B189" s="34"/>
      <c r="C189" s="34"/>
      <c r="D189" s="34"/>
      <c r="E189" s="34"/>
      <c r="F189" s="34"/>
      <c r="G189" s="34"/>
    </row>
    <row r="190" spans="1:7" x14ac:dyDescent="0.3">
      <c r="A190" s="34"/>
      <c r="B190" s="34"/>
      <c r="C190" s="34"/>
      <c r="D190" s="34"/>
      <c r="E190" s="34"/>
      <c r="F190" s="34"/>
      <c r="G190" s="34"/>
    </row>
    <row r="191" spans="1:7" x14ac:dyDescent="0.3">
      <c r="A191" s="34"/>
      <c r="B191" s="34"/>
      <c r="C191" s="34"/>
      <c r="D191" s="34"/>
      <c r="E191" s="34"/>
      <c r="F191" s="34"/>
      <c r="G191" s="34"/>
    </row>
    <row r="192" spans="1:7" x14ac:dyDescent="0.3">
      <c r="A192" s="34"/>
      <c r="B192" s="34"/>
      <c r="C192" s="34"/>
      <c r="D192" s="34"/>
      <c r="E192" s="34"/>
      <c r="F192" s="34"/>
      <c r="G192" s="34"/>
    </row>
    <row r="193" spans="1:7" x14ac:dyDescent="0.3">
      <c r="A193" s="34"/>
      <c r="B193" s="34"/>
      <c r="C193" s="34"/>
      <c r="D193" s="34"/>
      <c r="E193" s="34"/>
      <c r="F193" s="34"/>
      <c r="G193" s="34"/>
    </row>
    <row r="194" spans="1:7" x14ac:dyDescent="0.3">
      <c r="A194" s="34"/>
      <c r="B194" s="34"/>
      <c r="C194" s="34"/>
      <c r="D194" s="34"/>
      <c r="E194" s="34"/>
      <c r="F194" s="34"/>
      <c r="G194" s="34"/>
    </row>
    <row r="195" spans="1:7" x14ac:dyDescent="0.3">
      <c r="A195" s="34"/>
      <c r="B195" s="34"/>
      <c r="C195" s="34"/>
      <c r="D195" s="34"/>
      <c r="E195" s="34"/>
      <c r="F195" s="34"/>
      <c r="G195" s="34"/>
    </row>
    <row r="196" spans="1:7" x14ac:dyDescent="0.3">
      <c r="A196" s="34"/>
      <c r="B196" s="34"/>
      <c r="C196" s="34"/>
      <c r="D196" s="34"/>
      <c r="E196" s="34"/>
      <c r="F196" s="34"/>
      <c r="G196" s="34"/>
    </row>
    <row r="197" spans="1:7" x14ac:dyDescent="0.3">
      <c r="A197" s="34"/>
      <c r="B197" s="34"/>
      <c r="C197" s="34"/>
      <c r="D197" s="34"/>
      <c r="E197" s="34"/>
      <c r="F197" s="34"/>
      <c r="G197" s="34"/>
    </row>
    <row r="198" spans="1:7" x14ac:dyDescent="0.3">
      <c r="A198" s="34"/>
      <c r="B198" s="34"/>
      <c r="C198" s="34"/>
      <c r="D198" s="34"/>
      <c r="E198" s="34"/>
      <c r="F198" s="34"/>
      <c r="G198" s="34"/>
    </row>
    <row r="199" spans="1:7" x14ac:dyDescent="0.3">
      <c r="A199" s="34"/>
      <c r="B199" s="34"/>
      <c r="C199" s="34"/>
      <c r="D199" s="34"/>
      <c r="E199" s="34"/>
      <c r="F199" s="34"/>
      <c r="G199" s="34"/>
    </row>
    <row r="200" spans="1:7" x14ac:dyDescent="0.3">
      <c r="A200" s="34"/>
      <c r="B200" s="34"/>
      <c r="C200" s="34"/>
      <c r="D200" s="34"/>
      <c r="E200" s="34"/>
      <c r="F200" s="34"/>
      <c r="G200" s="34"/>
    </row>
    <row r="201" spans="1:7" x14ac:dyDescent="0.3">
      <c r="A201" s="34"/>
      <c r="B201" s="34"/>
      <c r="C201" s="34"/>
      <c r="D201" s="34"/>
      <c r="E201" s="34"/>
      <c r="F201" s="34"/>
      <c r="G201" s="34"/>
    </row>
    <row r="202" spans="1:7" x14ac:dyDescent="0.3">
      <c r="A202" s="34"/>
      <c r="B202" s="34"/>
      <c r="C202" s="34"/>
      <c r="D202" s="34"/>
      <c r="E202" s="34"/>
      <c r="F202" s="34"/>
      <c r="G202" s="34"/>
    </row>
    <row r="203" spans="1:7" x14ac:dyDescent="0.3">
      <c r="A203" s="34"/>
      <c r="B203" s="34"/>
      <c r="C203" s="34"/>
      <c r="D203" s="34"/>
      <c r="E203" s="34"/>
      <c r="F203" s="34"/>
      <c r="G203" s="34"/>
    </row>
    <row r="204" spans="1:7" x14ac:dyDescent="0.3">
      <c r="A204" s="34"/>
      <c r="B204" s="34"/>
      <c r="C204" s="34"/>
      <c r="D204" s="34"/>
      <c r="E204" s="34"/>
      <c r="F204" s="34"/>
      <c r="G204" s="34"/>
    </row>
    <row r="205" spans="1:7" x14ac:dyDescent="0.3">
      <c r="A205" s="34"/>
      <c r="B205" s="34"/>
      <c r="C205" s="34"/>
      <c r="D205" s="34"/>
      <c r="E205" s="34"/>
      <c r="F205" s="34"/>
      <c r="G205" s="34"/>
    </row>
    <row r="206" spans="1:7" x14ac:dyDescent="0.3">
      <c r="A206" s="34"/>
      <c r="B206" s="34"/>
      <c r="C206" s="34"/>
      <c r="D206" s="34"/>
      <c r="E206" s="34"/>
      <c r="F206" s="34"/>
      <c r="G206" s="34"/>
    </row>
    <row r="207" spans="1:7" x14ac:dyDescent="0.3">
      <c r="A207" s="34"/>
      <c r="B207" s="34"/>
      <c r="C207" s="34"/>
      <c r="D207" s="34"/>
      <c r="E207" s="34"/>
      <c r="F207" s="34"/>
      <c r="G207" s="34"/>
    </row>
    <row r="208" spans="1:7" x14ac:dyDescent="0.3">
      <c r="A208" s="34"/>
      <c r="B208" s="34"/>
      <c r="C208" s="34"/>
      <c r="D208" s="34"/>
      <c r="E208" s="34"/>
      <c r="F208" s="34"/>
      <c r="G208" s="34"/>
    </row>
    <row r="209" spans="1:7" x14ac:dyDescent="0.3">
      <c r="A209" s="34"/>
      <c r="B209" s="34"/>
      <c r="C209" s="34"/>
      <c r="D209" s="34"/>
      <c r="E209" s="34"/>
      <c r="F209" s="34"/>
      <c r="G209" s="34"/>
    </row>
    <row r="210" spans="1:7" x14ac:dyDescent="0.3">
      <c r="A210" s="34"/>
      <c r="B210" s="34"/>
      <c r="C210" s="34"/>
      <c r="D210" s="34"/>
      <c r="E210" s="34"/>
      <c r="F210" s="34"/>
      <c r="G210" s="34"/>
    </row>
    <row r="211" spans="1:7" x14ac:dyDescent="0.3">
      <c r="A211" s="34"/>
      <c r="B211" s="34"/>
      <c r="C211" s="34"/>
      <c r="D211" s="34"/>
      <c r="E211" s="34"/>
      <c r="F211" s="34"/>
      <c r="G211" s="34"/>
    </row>
    <row r="212" spans="1:7" x14ac:dyDescent="0.3">
      <c r="A212" s="34"/>
      <c r="B212" s="34"/>
      <c r="C212" s="34"/>
      <c r="D212" s="34"/>
      <c r="E212" s="34"/>
      <c r="F212" s="34"/>
      <c r="G212" s="34"/>
    </row>
    <row r="213" spans="1:7" x14ac:dyDescent="0.3">
      <c r="A213" s="34"/>
      <c r="B213" s="34"/>
      <c r="C213" s="34"/>
      <c r="D213" s="34"/>
      <c r="E213" s="34"/>
      <c r="F213" s="34"/>
      <c r="G213" s="34"/>
    </row>
    <row r="214" spans="1:7" x14ac:dyDescent="0.3">
      <c r="A214" s="34"/>
      <c r="B214" s="34"/>
      <c r="C214" s="34"/>
      <c r="D214" s="34"/>
      <c r="E214" s="34"/>
      <c r="F214" s="34"/>
      <c r="G214" s="34"/>
    </row>
    <row r="215" spans="1:7" x14ac:dyDescent="0.3">
      <c r="A215" s="34"/>
      <c r="B215" s="34"/>
      <c r="C215" s="34"/>
      <c r="D215" s="34"/>
      <c r="E215" s="34"/>
      <c r="F215" s="34"/>
      <c r="G215" s="34"/>
    </row>
    <row r="216" spans="1:7" x14ac:dyDescent="0.3">
      <c r="A216" s="34"/>
      <c r="B216" s="34"/>
      <c r="C216" s="34"/>
      <c r="D216" s="34"/>
      <c r="E216" s="34"/>
      <c r="F216" s="34"/>
      <c r="G216" s="34"/>
    </row>
    <row r="217" spans="1:7" x14ac:dyDescent="0.3">
      <c r="A217" s="34"/>
      <c r="B217" s="34"/>
      <c r="C217" s="34"/>
      <c r="D217" s="34"/>
      <c r="E217" s="34"/>
      <c r="F217" s="34"/>
      <c r="G217" s="34"/>
    </row>
    <row r="218" spans="1:7" x14ac:dyDescent="0.3">
      <c r="A218" s="34"/>
      <c r="B218" s="34"/>
      <c r="C218" s="34"/>
      <c r="D218" s="34"/>
      <c r="E218" s="34"/>
      <c r="F218" s="34"/>
      <c r="G218" s="34"/>
    </row>
    <row r="219" spans="1:7" x14ac:dyDescent="0.3">
      <c r="A219" s="34"/>
      <c r="B219" s="34"/>
      <c r="C219" s="34"/>
      <c r="D219" s="34"/>
      <c r="E219" s="34"/>
      <c r="F219" s="34"/>
      <c r="G219" s="34"/>
    </row>
    <row r="220" spans="1:7" x14ac:dyDescent="0.3">
      <c r="A220" s="34"/>
      <c r="B220" s="34"/>
      <c r="C220" s="34"/>
      <c r="D220" s="34"/>
      <c r="E220" s="34"/>
      <c r="F220" s="34"/>
      <c r="G220" s="34"/>
    </row>
    <row r="221" spans="1:7" x14ac:dyDescent="0.3">
      <c r="A221" s="34"/>
      <c r="B221" s="34"/>
      <c r="C221" s="34"/>
      <c r="D221" s="34"/>
      <c r="E221" s="34"/>
      <c r="F221" s="34"/>
      <c r="G221" s="34"/>
    </row>
    <row r="222" spans="1:7" x14ac:dyDescent="0.3">
      <c r="A222" s="34"/>
      <c r="B222" s="34"/>
      <c r="C222" s="34"/>
      <c r="D222" s="34"/>
      <c r="E222" s="34"/>
      <c r="F222" s="34"/>
      <c r="G222" s="34"/>
    </row>
    <row r="223" spans="1:7" x14ac:dyDescent="0.3">
      <c r="A223" s="34"/>
      <c r="B223" s="34"/>
      <c r="C223" s="34"/>
      <c r="D223" s="34"/>
      <c r="E223" s="34"/>
      <c r="F223" s="34"/>
      <c r="G223" s="34"/>
    </row>
    <row r="224" spans="1:7" x14ac:dyDescent="0.3">
      <c r="A224" s="34"/>
      <c r="B224" s="34"/>
      <c r="C224" s="34"/>
      <c r="D224" s="34"/>
      <c r="E224" s="34"/>
      <c r="F224" s="34"/>
      <c r="G224" s="34"/>
    </row>
    <row r="225" spans="1:7" x14ac:dyDescent="0.3">
      <c r="A225" s="34"/>
      <c r="B225" s="34"/>
      <c r="C225" s="34"/>
      <c r="D225" s="34"/>
      <c r="E225" s="34"/>
      <c r="F225" s="34"/>
      <c r="G225" s="34"/>
    </row>
    <row r="226" spans="1:7" x14ac:dyDescent="0.3">
      <c r="A226" s="34"/>
      <c r="B226" s="34"/>
      <c r="C226" s="34"/>
      <c r="D226" s="34"/>
      <c r="E226" s="34"/>
      <c r="F226" s="34"/>
      <c r="G226" s="34"/>
    </row>
    <row r="227" spans="1:7" x14ac:dyDescent="0.3">
      <c r="A227" s="34"/>
      <c r="B227" s="34"/>
      <c r="C227" s="34"/>
      <c r="D227" s="34"/>
      <c r="E227" s="34"/>
      <c r="F227" s="34"/>
      <c r="G227" s="34"/>
    </row>
    <row r="228" spans="1:7" x14ac:dyDescent="0.3">
      <c r="A228" s="34"/>
      <c r="B228" s="34"/>
      <c r="C228" s="34"/>
      <c r="D228" s="34"/>
      <c r="E228" s="34"/>
      <c r="F228" s="34"/>
      <c r="G228" s="34"/>
    </row>
    <row r="229" spans="1:7" x14ac:dyDescent="0.3">
      <c r="A229" s="34"/>
      <c r="B229" s="34"/>
      <c r="C229" s="34"/>
      <c r="D229" s="34"/>
      <c r="E229" s="34"/>
      <c r="F229" s="34"/>
      <c r="G229" s="34"/>
    </row>
    <row r="230" spans="1:7" x14ac:dyDescent="0.3">
      <c r="A230" s="34"/>
      <c r="B230" s="34"/>
      <c r="C230" s="34"/>
      <c r="D230" s="34"/>
      <c r="E230" s="34"/>
      <c r="F230" s="34"/>
      <c r="G230" s="34"/>
    </row>
    <row r="231" spans="1:7" x14ac:dyDescent="0.3">
      <c r="A231" s="34"/>
      <c r="B231" s="34"/>
      <c r="C231" s="34"/>
      <c r="D231" s="34"/>
      <c r="E231" s="34"/>
      <c r="F231" s="34"/>
      <c r="G231" s="34"/>
    </row>
    <row r="232" spans="1:7" x14ac:dyDescent="0.3">
      <c r="A232" s="34"/>
      <c r="B232" s="34"/>
      <c r="C232" s="34"/>
      <c r="D232" s="34"/>
      <c r="E232" s="34"/>
      <c r="F232" s="34"/>
      <c r="G232" s="34"/>
    </row>
    <row r="233" spans="1:7" x14ac:dyDescent="0.3">
      <c r="A233" s="34"/>
      <c r="B233" s="34"/>
      <c r="C233" s="34"/>
      <c r="D233" s="34"/>
      <c r="E233" s="34"/>
      <c r="F233" s="34"/>
      <c r="G233" s="34"/>
    </row>
    <row r="234" spans="1:7" x14ac:dyDescent="0.3">
      <c r="A234" s="34"/>
      <c r="B234" s="34"/>
      <c r="C234" s="34"/>
      <c r="D234" s="34"/>
      <c r="E234" s="34"/>
      <c r="F234" s="34"/>
      <c r="G234" s="34"/>
    </row>
    <row r="235" spans="1:7" x14ac:dyDescent="0.3">
      <c r="A235" s="34"/>
      <c r="B235" s="34"/>
      <c r="C235" s="34"/>
      <c r="D235" s="34"/>
      <c r="E235" s="34"/>
      <c r="F235" s="34"/>
      <c r="G235" s="34"/>
    </row>
    <row r="236" spans="1:7" x14ac:dyDescent="0.3">
      <c r="A236" s="34"/>
      <c r="B236" s="34"/>
      <c r="C236" s="34"/>
      <c r="D236" s="34"/>
      <c r="E236" s="34"/>
      <c r="F236" s="34"/>
      <c r="G236" s="34"/>
    </row>
    <row r="237" spans="1:7" x14ac:dyDescent="0.3">
      <c r="A237" s="34"/>
      <c r="B237" s="34"/>
      <c r="C237" s="34"/>
      <c r="D237" s="34"/>
      <c r="E237" s="34"/>
      <c r="F237" s="34"/>
      <c r="G237" s="34"/>
    </row>
    <row r="238" spans="1:7" x14ac:dyDescent="0.3">
      <c r="A238" s="34"/>
      <c r="B238" s="34"/>
      <c r="C238" s="34"/>
      <c r="D238" s="34"/>
      <c r="E238" s="34"/>
      <c r="F238" s="34"/>
      <c r="G238" s="34"/>
    </row>
    <row r="239" spans="1:7" x14ac:dyDescent="0.3">
      <c r="A239" s="34"/>
      <c r="B239" s="34"/>
      <c r="C239" s="34"/>
      <c r="D239" s="34"/>
      <c r="E239" s="34"/>
      <c r="F239" s="34"/>
      <c r="G239" s="34"/>
    </row>
    <row r="240" spans="1:7" x14ac:dyDescent="0.3">
      <c r="A240" s="34"/>
      <c r="B240" s="34"/>
      <c r="C240" s="34"/>
      <c r="D240" s="34"/>
      <c r="E240" s="34"/>
      <c r="F240" s="34"/>
      <c r="G240" s="34"/>
    </row>
    <row r="241" spans="1:7" x14ac:dyDescent="0.3">
      <c r="A241" s="34"/>
      <c r="B241" s="34"/>
      <c r="C241" s="34"/>
      <c r="D241" s="34"/>
      <c r="E241" s="34"/>
      <c r="F241" s="34"/>
      <c r="G241" s="34"/>
    </row>
    <row r="242" spans="1:7" x14ac:dyDescent="0.3">
      <c r="A242" s="34"/>
      <c r="B242" s="34"/>
      <c r="C242" s="34"/>
      <c r="D242" s="34"/>
      <c r="E242" s="34"/>
      <c r="F242" s="34"/>
      <c r="G242" s="34"/>
    </row>
    <row r="243" spans="1:7" x14ac:dyDescent="0.3">
      <c r="A243" s="34"/>
      <c r="B243" s="34"/>
      <c r="C243" s="34"/>
      <c r="D243" s="34"/>
      <c r="E243" s="34"/>
      <c r="F243" s="34"/>
      <c r="G243" s="34"/>
    </row>
    <row r="244" spans="1:7" x14ac:dyDescent="0.3">
      <c r="A244" s="34"/>
      <c r="B244" s="34"/>
      <c r="C244" s="34"/>
      <c r="D244" s="34"/>
      <c r="E244" s="34"/>
      <c r="F244" s="34"/>
      <c r="G244" s="34"/>
    </row>
    <row r="245" spans="1:7" x14ac:dyDescent="0.3">
      <c r="A245" s="34"/>
      <c r="B245" s="34"/>
      <c r="C245" s="34"/>
      <c r="D245" s="34"/>
      <c r="E245" s="34"/>
      <c r="F245" s="34"/>
      <c r="G245" s="34"/>
    </row>
    <row r="246" spans="1:7" x14ac:dyDescent="0.3">
      <c r="A246" s="34"/>
      <c r="B246" s="34"/>
      <c r="C246" s="34"/>
      <c r="D246" s="34"/>
      <c r="E246" s="34"/>
      <c r="F246" s="34"/>
      <c r="G246" s="34"/>
    </row>
    <row r="247" spans="1:7" x14ac:dyDescent="0.3">
      <c r="A247" s="34"/>
      <c r="B247" s="34"/>
      <c r="C247" s="34"/>
      <c r="D247" s="34"/>
      <c r="E247" s="34"/>
      <c r="F247" s="34"/>
      <c r="G247" s="34"/>
    </row>
    <row r="248" spans="1:7" x14ac:dyDescent="0.3">
      <c r="A248" s="34"/>
      <c r="B248" s="34"/>
      <c r="C248" s="34"/>
      <c r="D248" s="34"/>
      <c r="E248" s="34"/>
      <c r="F248" s="34"/>
      <c r="G248" s="34"/>
    </row>
    <row r="249" spans="1:7" x14ac:dyDescent="0.3">
      <c r="A249" s="34"/>
      <c r="B249" s="34"/>
      <c r="C249" s="34"/>
      <c r="D249" s="34"/>
      <c r="E249" s="34"/>
      <c r="F249" s="34"/>
      <c r="G249" s="34"/>
    </row>
    <row r="250" spans="1:7" x14ac:dyDescent="0.3">
      <c r="A250" s="34"/>
      <c r="B250" s="34"/>
      <c r="C250" s="34"/>
      <c r="D250" s="34"/>
      <c r="E250" s="34"/>
      <c r="F250" s="34"/>
      <c r="G250" s="34"/>
    </row>
    <row r="251" spans="1:7" x14ac:dyDescent="0.3">
      <c r="A251" s="34"/>
      <c r="B251" s="34"/>
      <c r="C251" s="34"/>
      <c r="D251" s="34"/>
      <c r="E251" s="34"/>
      <c r="F251" s="34"/>
      <c r="G251" s="34"/>
    </row>
    <row r="252" spans="1:7" x14ac:dyDescent="0.3">
      <c r="A252" s="34"/>
      <c r="B252" s="34"/>
      <c r="C252" s="34"/>
      <c r="D252" s="34"/>
      <c r="E252" s="34"/>
      <c r="F252" s="34"/>
      <c r="G252" s="34"/>
    </row>
    <row r="253" spans="1:7" x14ac:dyDescent="0.3">
      <c r="A253" s="34"/>
      <c r="B253" s="34"/>
      <c r="C253" s="34"/>
      <c r="D253" s="34"/>
      <c r="E253" s="34"/>
      <c r="F253" s="34"/>
      <c r="G253" s="34"/>
    </row>
    <row r="254" spans="1:7" x14ac:dyDescent="0.3">
      <c r="A254" s="34"/>
      <c r="B254" s="34"/>
      <c r="C254" s="34"/>
      <c r="D254" s="34"/>
      <c r="E254" s="34"/>
      <c r="F254" s="34"/>
      <c r="G254" s="34"/>
    </row>
    <row r="255" spans="1:7" x14ac:dyDescent="0.3">
      <c r="A255" s="34"/>
      <c r="B255" s="34"/>
      <c r="C255" s="34"/>
      <c r="D255" s="34"/>
      <c r="E255" s="34"/>
      <c r="F255" s="34"/>
      <c r="G255" s="34"/>
    </row>
    <row r="256" spans="1:7" x14ac:dyDescent="0.3">
      <c r="A256" s="34"/>
      <c r="B256" s="34"/>
      <c r="C256" s="34"/>
      <c r="D256" s="34"/>
      <c r="E256" s="34"/>
      <c r="F256" s="34"/>
      <c r="G256" s="34"/>
    </row>
    <row r="257" spans="1:7" x14ac:dyDescent="0.3">
      <c r="A257" s="34"/>
      <c r="B257" s="34"/>
      <c r="C257" s="34"/>
      <c r="D257" s="34"/>
      <c r="E257" s="34"/>
      <c r="F257" s="34"/>
      <c r="G257" s="34"/>
    </row>
    <row r="258" spans="1:7" x14ac:dyDescent="0.3">
      <c r="A258" s="34"/>
      <c r="B258" s="34"/>
      <c r="C258" s="34"/>
      <c r="D258" s="34"/>
      <c r="E258" s="34"/>
      <c r="F258" s="34"/>
      <c r="G258" s="34"/>
    </row>
    <row r="259" spans="1:7" x14ac:dyDescent="0.3">
      <c r="A259" s="34"/>
      <c r="B259" s="34"/>
      <c r="C259" s="34"/>
      <c r="D259" s="34"/>
      <c r="E259" s="34"/>
      <c r="F259" s="34"/>
      <c r="G259" s="34"/>
    </row>
    <row r="260" spans="1:7" x14ac:dyDescent="0.3">
      <c r="A260" s="34"/>
      <c r="B260" s="34"/>
      <c r="C260" s="34"/>
      <c r="D260" s="34"/>
      <c r="E260" s="34"/>
      <c r="F260" s="34"/>
      <c r="G260" s="34"/>
    </row>
    <row r="261" spans="1:7" x14ac:dyDescent="0.3">
      <c r="A261" s="34"/>
      <c r="B261" s="34"/>
      <c r="C261" s="34"/>
      <c r="D261" s="34"/>
      <c r="E261" s="34"/>
      <c r="F261" s="34"/>
      <c r="G261" s="34"/>
    </row>
    <row r="262" spans="1:7" x14ac:dyDescent="0.3">
      <c r="A262" s="34"/>
      <c r="B262" s="34"/>
      <c r="C262" s="34"/>
      <c r="D262" s="34"/>
      <c r="E262" s="34"/>
      <c r="F262" s="34"/>
      <c r="G262" s="34"/>
    </row>
    <row r="263" spans="1:7" x14ac:dyDescent="0.3">
      <c r="A263" s="34"/>
      <c r="B263" s="34"/>
      <c r="C263" s="34"/>
      <c r="D263" s="34"/>
      <c r="E263" s="34"/>
      <c r="F263" s="34"/>
      <c r="G263" s="34"/>
    </row>
    <row r="264" spans="1:7" x14ac:dyDescent="0.3">
      <c r="A264" s="34"/>
      <c r="B264" s="34"/>
      <c r="C264" s="34"/>
      <c r="D264" s="34"/>
      <c r="E264" s="34"/>
      <c r="F264" s="34"/>
      <c r="G264" s="34"/>
    </row>
    <row r="265" spans="1:7" x14ac:dyDescent="0.3">
      <c r="A265" s="34"/>
      <c r="B265" s="34"/>
      <c r="C265" s="34"/>
      <c r="D265" s="34"/>
      <c r="E265" s="34"/>
      <c r="F265" s="34"/>
      <c r="G265" s="34"/>
    </row>
    <row r="266" spans="1:7" x14ac:dyDescent="0.3">
      <c r="A266" s="34"/>
      <c r="B266" s="34"/>
      <c r="C266" s="34"/>
      <c r="D266" s="34"/>
      <c r="E266" s="34"/>
      <c r="F266" s="34"/>
      <c r="G266" s="34"/>
    </row>
    <row r="267" spans="1:7" x14ac:dyDescent="0.3">
      <c r="A267" s="34"/>
      <c r="B267" s="34"/>
      <c r="C267" s="34"/>
      <c r="D267" s="34"/>
      <c r="E267" s="34"/>
      <c r="F267" s="34"/>
      <c r="G267" s="34"/>
    </row>
    <row r="268" spans="1:7" x14ac:dyDescent="0.3">
      <c r="A268" s="34"/>
      <c r="B268" s="34"/>
      <c r="C268" s="34"/>
      <c r="D268" s="34"/>
      <c r="E268" s="34"/>
      <c r="F268" s="34"/>
      <c r="G268" s="34"/>
    </row>
    <row r="269" spans="1:7" x14ac:dyDescent="0.3">
      <c r="A269" s="34"/>
      <c r="B269" s="34"/>
      <c r="C269" s="34"/>
      <c r="D269" s="34"/>
      <c r="E269" s="34"/>
      <c r="F269" s="34"/>
      <c r="G269" s="34"/>
    </row>
    <row r="270" spans="1:7" x14ac:dyDescent="0.3">
      <c r="A270" s="34"/>
      <c r="B270" s="34"/>
      <c r="C270" s="34"/>
      <c r="D270" s="34"/>
      <c r="E270" s="34"/>
      <c r="F270" s="34"/>
      <c r="G270" s="34"/>
    </row>
    <row r="271" spans="1:7" x14ac:dyDescent="0.3">
      <c r="A271" s="34"/>
      <c r="B271" s="34"/>
      <c r="C271" s="34"/>
      <c r="D271" s="34"/>
      <c r="E271" s="34"/>
      <c r="F271" s="34"/>
      <c r="G271" s="34"/>
    </row>
    <row r="272" spans="1:7" x14ac:dyDescent="0.3">
      <c r="A272" s="34"/>
      <c r="B272" s="34"/>
      <c r="C272" s="34"/>
      <c r="D272" s="34"/>
      <c r="E272" s="34"/>
      <c r="F272" s="34"/>
      <c r="G272" s="34"/>
    </row>
    <row r="273" spans="1:7" x14ac:dyDescent="0.3">
      <c r="A273" s="34"/>
      <c r="B273" s="34"/>
      <c r="C273" s="34"/>
      <c r="D273" s="34"/>
      <c r="E273" s="34"/>
      <c r="F273" s="34"/>
      <c r="G273" s="34"/>
    </row>
    <row r="274" spans="1:7" x14ac:dyDescent="0.3">
      <c r="A274" s="34"/>
      <c r="B274" s="34"/>
      <c r="C274" s="34"/>
      <c r="D274" s="34"/>
      <c r="E274" s="34"/>
      <c r="F274" s="34"/>
      <c r="G274" s="34"/>
    </row>
    <row r="275" spans="1:7" x14ac:dyDescent="0.3">
      <c r="A275" s="34"/>
      <c r="B275" s="34"/>
      <c r="C275" s="34"/>
      <c r="D275" s="34"/>
      <c r="E275" s="34"/>
      <c r="F275" s="34"/>
      <c r="G275" s="34"/>
    </row>
    <row r="276" spans="1:7" x14ac:dyDescent="0.3">
      <c r="A276" s="34"/>
      <c r="B276" s="34"/>
      <c r="C276" s="34"/>
      <c r="D276" s="34"/>
      <c r="E276" s="34"/>
      <c r="F276" s="34"/>
      <c r="G276" s="34"/>
    </row>
    <row r="277" spans="1:7" x14ac:dyDescent="0.3">
      <c r="A277" s="34"/>
      <c r="B277" s="34"/>
      <c r="C277" s="34"/>
      <c r="D277" s="34"/>
      <c r="E277" s="34"/>
      <c r="F277" s="34"/>
      <c r="G277" s="34"/>
    </row>
    <row r="278" spans="1:7" x14ac:dyDescent="0.3">
      <c r="A278" s="34"/>
      <c r="B278" s="34"/>
      <c r="C278" s="34"/>
      <c r="D278" s="34"/>
      <c r="E278" s="34"/>
      <c r="F278" s="34"/>
      <c r="G278" s="34"/>
    </row>
    <row r="279" spans="1:7" x14ac:dyDescent="0.3">
      <c r="A279" s="34"/>
      <c r="B279" s="34"/>
      <c r="C279" s="34"/>
      <c r="D279" s="34"/>
      <c r="E279" s="34"/>
      <c r="F279" s="34"/>
      <c r="G279" s="34"/>
    </row>
    <row r="280" spans="1:7" x14ac:dyDescent="0.3">
      <c r="A280" s="34"/>
      <c r="B280" s="34"/>
      <c r="C280" s="34"/>
      <c r="D280" s="34"/>
      <c r="E280" s="34"/>
      <c r="F280" s="34"/>
      <c r="G280" s="34"/>
    </row>
    <row r="281" spans="1:7" x14ac:dyDescent="0.3">
      <c r="A281" s="34"/>
      <c r="B281" s="34"/>
      <c r="C281" s="34"/>
      <c r="D281" s="34"/>
      <c r="E281" s="34"/>
      <c r="F281" s="34"/>
      <c r="G281" s="34"/>
    </row>
    <row r="282" spans="1:7" x14ac:dyDescent="0.3">
      <c r="A282" s="34"/>
      <c r="B282" s="34"/>
      <c r="C282" s="34"/>
      <c r="D282" s="34"/>
      <c r="E282" s="34"/>
      <c r="F282" s="34"/>
      <c r="G282" s="34"/>
    </row>
    <row r="283" spans="1:7" x14ac:dyDescent="0.3">
      <c r="A283" s="34"/>
      <c r="B283" s="34"/>
      <c r="C283" s="34"/>
      <c r="D283" s="34"/>
      <c r="E283" s="34"/>
      <c r="F283" s="34"/>
      <c r="G283" s="34"/>
    </row>
    <row r="284" spans="1:7" x14ac:dyDescent="0.3">
      <c r="A284" s="34"/>
      <c r="B284" s="34"/>
      <c r="C284" s="34"/>
      <c r="D284" s="34"/>
      <c r="E284" s="34"/>
      <c r="F284" s="34"/>
      <c r="G284" s="34"/>
    </row>
    <row r="285" spans="1:7" x14ac:dyDescent="0.3">
      <c r="A285" s="34"/>
      <c r="B285" s="34"/>
      <c r="C285" s="34"/>
      <c r="D285" s="34"/>
      <c r="E285" s="34"/>
      <c r="F285" s="34"/>
      <c r="G285" s="34"/>
    </row>
    <row r="286" spans="1:7" x14ac:dyDescent="0.3">
      <c r="A286" s="34"/>
      <c r="B286" s="34"/>
      <c r="C286" s="34"/>
      <c r="D286" s="34"/>
      <c r="E286" s="34"/>
      <c r="F286" s="34"/>
      <c r="G286" s="34"/>
    </row>
    <row r="287" spans="1:7" x14ac:dyDescent="0.3">
      <c r="A287" s="34"/>
      <c r="B287" s="34"/>
      <c r="C287" s="34"/>
      <c r="D287" s="34"/>
      <c r="E287" s="34"/>
      <c r="F287" s="34"/>
      <c r="G287" s="34"/>
    </row>
    <row r="288" spans="1:7" x14ac:dyDescent="0.3">
      <c r="A288" s="34"/>
      <c r="B288" s="34"/>
      <c r="C288" s="34"/>
      <c r="D288" s="34"/>
      <c r="E288" s="34"/>
      <c r="F288" s="34"/>
      <c r="G288" s="34"/>
    </row>
    <row r="289" spans="1:7" x14ac:dyDescent="0.3">
      <c r="A289" s="34"/>
      <c r="B289" s="34"/>
      <c r="C289" s="34"/>
      <c r="D289" s="34"/>
      <c r="E289" s="34"/>
      <c r="F289" s="34"/>
      <c r="G289" s="34"/>
    </row>
    <row r="290" spans="1:7" x14ac:dyDescent="0.3">
      <c r="A290" s="34"/>
      <c r="B290" s="34"/>
      <c r="C290" s="34"/>
      <c r="D290" s="34"/>
      <c r="E290" s="34"/>
      <c r="F290" s="34"/>
      <c r="G290" s="34"/>
    </row>
    <row r="291" spans="1:7" x14ac:dyDescent="0.3">
      <c r="A291" s="34"/>
      <c r="B291" s="34"/>
      <c r="C291" s="34"/>
      <c r="D291" s="34"/>
      <c r="E291" s="34"/>
      <c r="F291" s="34"/>
      <c r="G291" s="34"/>
    </row>
    <row r="292" spans="1:7" x14ac:dyDescent="0.3">
      <c r="A292" s="34"/>
      <c r="B292" s="34"/>
      <c r="C292" s="34"/>
      <c r="D292" s="34"/>
      <c r="E292" s="34"/>
      <c r="F292" s="34"/>
      <c r="G292" s="34"/>
    </row>
    <row r="293" spans="1:7" x14ac:dyDescent="0.3">
      <c r="A293" s="34"/>
      <c r="B293" s="34"/>
      <c r="C293" s="34"/>
      <c r="D293" s="34"/>
      <c r="E293" s="34"/>
      <c r="F293" s="34"/>
      <c r="G293" s="34"/>
    </row>
    <row r="294" spans="1:7" x14ac:dyDescent="0.3">
      <c r="A294" s="34"/>
      <c r="B294" s="34"/>
      <c r="C294" s="34"/>
      <c r="D294" s="34"/>
      <c r="E294" s="34"/>
      <c r="F294" s="34"/>
      <c r="G294" s="34"/>
    </row>
    <row r="295" spans="1:7" x14ac:dyDescent="0.3">
      <c r="A295" s="34"/>
      <c r="B295" s="34"/>
      <c r="C295" s="34"/>
      <c r="D295" s="34"/>
      <c r="E295" s="34"/>
      <c r="F295" s="34"/>
      <c r="G295" s="34"/>
    </row>
    <row r="296" spans="1:7" x14ac:dyDescent="0.3">
      <c r="A296" s="34"/>
      <c r="B296" s="34"/>
      <c r="C296" s="34"/>
      <c r="D296" s="34"/>
      <c r="E296" s="34"/>
      <c r="F296" s="34"/>
      <c r="G296" s="34"/>
    </row>
    <row r="297" spans="1:7" x14ac:dyDescent="0.3">
      <c r="A297" s="34"/>
      <c r="B297" s="34"/>
      <c r="C297" s="34"/>
      <c r="D297" s="34"/>
      <c r="E297" s="34"/>
      <c r="F297" s="34"/>
      <c r="G297" s="34"/>
    </row>
    <row r="298" spans="1:7" x14ac:dyDescent="0.3">
      <c r="A298" s="34"/>
      <c r="B298" s="34"/>
      <c r="C298" s="34"/>
      <c r="D298" s="34"/>
      <c r="E298" s="34"/>
      <c r="F298" s="34"/>
      <c r="G298" s="34"/>
    </row>
    <row r="299" spans="1:7" x14ac:dyDescent="0.3">
      <c r="A299" s="34"/>
      <c r="B299" s="34"/>
      <c r="C299" s="34"/>
      <c r="D299" s="34"/>
      <c r="E299" s="34"/>
      <c r="F299" s="34"/>
      <c r="G299" s="34"/>
    </row>
    <row r="300" spans="1:7" x14ac:dyDescent="0.3">
      <c r="A300" s="34"/>
      <c r="B300" s="34"/>
      <c r="C300" s="34"/>
      <c r="D300" s="34"/>
      <c r="E300" s="34"/>
      <c r="F300" s="34"/>
      <c r="G300" s="34"/>
    </row>
    <row r="301" spans="1:7" x14ac:dyDescent="0.3">
      <c r="A301" s="34"/>
      <c r="B301" s="34"/>
      <c r="C301" s="34"/>
      <c r="D301" s="34"/>
      <c r="E301" s="34"/>
      <c r="F301" s="34"/>
      <c r="G301" s="34"/>
    </row>
    <row r="302" spans="1:7" x14ac:dyDescent="0.3">
      <c r="A302" s="34"/>
      <c r="B302" s="34"/>
      <c r="C302" s="34"/>
      <c r="D302" s="34"/>
      <c r="E302" s="34"/>
      <c r="F302" s="34"/>
      <c r="G302" s="34"/>
    </row>
    <row r="303" spans="1:7" x14ac:dyDescent="0.3">
      <c r="A303" s="34"/>
      <c r="B303" s="34"/>
      <c r="C303" s="34"/>
      <c r="D303" s="34"/>
      <c r="E303" s="34"/>
      <c r="F303" s="34"/>
      <c r="G303" s="34"/>
    </row>
    <row r="304" spans="1:7" x14ac:dyDescent="0.3">
      <c r="A304" s="34"/>
      <c r="B304" s="34"/>
      <c r="C304" s="34"/>
      <c r="D304" s="34"/>
      <c r="E304" s="34"/>
      <c r="F304" s="34"/>
      <c r="G304" s="34"/>
    </row>
    <row r="305" spans="1:7" x14ac:dyDescent="0.3">
      <c r="A305" s="34"/>
      <c r="B305" s="34"/>
      <c r="C305" s="34"/>
      <c r="D305" s="34"/>
      <c r="E305" s="34"/>
      <c r="F305" s="34"/>
      <c r="G305" s="34"/>
    </row>
    <row r="306" spans="1:7" x14ac:dyDescent="0.3">
      <c r="A306" s="34"/>
      <c r="B306" s="34"/>
      <c r="C306" s="34"/>
      <c r="D306" s="34"/>
      <c r="E306" s="34"/>
      <c r="F306" s="34"/>
      <c r="G306" s="34"/>
    </row>
    <row r="307" spans="1:7" x14ac:dyDescent="0.3">
      <c r="A307" s="34"/>
      <c r="B307" s="34"/>
      <c r="C307" s="34"/>
      <c r="D307" s="34"/>
      <c r="E307" s="34"/>
      <c r="F307" s="34"/>
      <c r="G307" s="34"/>
    </row>
    <row r="308" spans="1:7" x14ac:dyDescent="0.3">
      <c r="A308" s="34"/>
      <c r="B308" s="34"/>
      <c r="C308" s="34"/>
      <c r="D308" s="34"/>
      <c r="E308" s="34"/>
      <c r="F308" s="34"/>
      <c r="G308" s="34"/>
    </row>
    <row r="309" spans="1:7" x14ac:dyDescent="0.3">
      <c r="A309" s="34"/>
      <c r="B309" s="34"/>
      <c r="C309" s="34"/>
      <c r="D309" s="34"/>
      <c r="E309" s="34"/>
      <c r="F309" s="34"/>
      <c r="G309" s="34"/>
    </row>
    <row r="310" spans="1:7" x14ac:dyDescent="0.3">
      <c r="A310" s="34"/>
      <c r="B310" s="34"/>
      <c r="C310" s="34"/>
      <c r="D310" s="34"/>
      <c r="E310" s="34"/>
      <c r="F310" s="34"/>
      <c r="G310" s="34"/>
    </row>
    <row r="311" spans="1:7" x14ac:dyDescent="0.3">
      <c r="A311" s="34"/>
      <c r="B311" s="34"/>
      <c r="C311" s="34"/>
      <c r="D311" s="34"/>
      <c r="E311" s="34"/>
      <c r="F311" s="34"/>
      <c r="G311" s="34"/>
    </row>
    <row r="312" spans="1:7" x14ac:dyDescent="0.3">
      <c r="A312" s="34"/>
      <c r="B312" s="34"/>
      <c r="C312" s="34"/>
      <c r="D312" s="34"/>
      <c r="E312" s="34"/>
      <c r="F312" s="34"/>
      <c r="G312" s="34"/>
    </row>
    <row r="313" spans="1:7" x14ac:dyDescent="0.3">
      <c r="A313" s="34"/>
      <c r="B313" s="34"/>
      <c r="C313" s="34"/>
      <c r="D313" s="34"/>
      <c r="E313" s="34"/>
      <c r="F313" s="34"/>
      <c r="G313" s="34"/>
    </row>
    <row r="314" spans="1:7" x14ac:dyDescent="0.3">
      <c r="A314" s="34"/>
      <c r="B314" s="34"/>
      <c r="C314" s="34"/>
      <c r="D314" s="34"/>
      <c r="E314" s="34"/>
      <c r="F314" s="34"/>
      <c r="G314" s="34"/>
    </row>
    <row r="315" spans="1:7" x14ac:dyDescent="0.3">
      <c r="A315" s="34"/>
      <c r="B315" s="34"/>
      <c r="C315" s="34"/>
      <c r="D315" s="34"/>
      <c r="E315" s="34"/>
      <c r="F315" s="34"/>
      <c r="G315" s="34"/>
    </row>
    <row r="316" spans="1:7" x14ac:dyDescent="0.3">
      <c r="A316" s="34"/>
      <c r="B316" s="34"/>
      <c r="C316" s="34"/>
      <c r="D316" s="34"/>
      <c r="E316" s="34"/>
      <c r="F316" s="34"/>
      <c r="G316" s="34"/>
    </row>
    <row r="317" spans="1:7" x14ac:dyDescent="0.3">
      <c r="A317" s="34"/>
      <c r="B317" s="34"/>
      <c r="C317" s="34"/>
      <c r="D317" s="34"/>
      <c r="E317" s="34"/>
      <c r="F317" s="34"/>
      <c r="G317" s="34"/>
    </row>
    <row r="318" spans="1:7" x14ac:dyDescent="0.3">
      <c r="A318" s="34"/>
      <c r="B318" s="34"/>
      <c r="C318" s="34"/>
      <c r="D318" s="34"/>
      <c r="E318" s="34"/>
      <c r="F318" s="34"/>
      <c r="G318" s="34"/>
    </row>
    <row r="319" spans="1:7" x14ac:dyDescent="0.3">
      <c r="A319" s="34"/>
      <c r="B319" s="34"/>
      <c r="C319" s="34"/>
      <c r="D319" s="34"/>
      <c r="E319" s="34"/>
      <c r="F319" s="34"/>
      <c r="G319" s="34"/>
    </row>
    <row r="320" spans="1:7" x14ac:dyDescent="0.3">
      <c r="A320" s="34"/>
      <c r="B320" s="34"/>
      <c r="C320" s="34"/>
      <c r="D320" s="34"/>
      <c r="E320" s="34"/>
      <c r="F320" s="34"/>
      <c r="G320" s="34"/>
    </row>
    <row r="321" spans="1:7" x14ac:dyDescent="0.3">
      <c r="A321" s="34"/>
      <c r="B321" s="34"/>
      <c r="C321" s="34"/>
      <c r="D321" s="34"/>
      <c r="E321" s="34"/>
      <c r="F321" s="34"/>
      <c r="G321" s="34"/>
    </row>
    <row r="322" spans="1:7" x14ac:dyDescent="0.3">
      <c r="A322" s="34"/>
      <c r="B322" s="34"/>
      <c r="C322" s="34"/>
      <c r="D322" s="34"/>
      <c r="E322" s="34"/>
      <c r="F322" s="34"/>
      <c r="G322" s="34"/>
    </row>
    <row r="323" spans="1:7" x14ac:dyDescent="0.3">
      <c r="A323" s="34"/>
      <c r="B323" s="34"/>
      <c r="C323" s="34"/>
      <c r="D323" s="34"/>
      <c r="E323" s="34"/>
      <c r="F323" s="34"/>
      <c r="G323" s="34"/>
    </row>
    <row r="324" spans="1:7" x14ac:dyDescent="0.3">
      <c r="A324" s="34"/>
      <c r="B324" s="34"/>
      <c r="C324" s="34"/>
      <c r="D324" s="34"/>
      <c r="E324" s="34"/>
      <c r="F324" s="34"/>
      <c r="G324" s="34"/>
    </row>
    <row r="325" spans="1:7" x14ac:dyDescent="0.3">
      <c r="A325" s="34"/>
      <c r="B325" s="34"/>
      <c r="C325" s="34"/>
      <c r="D325" s="34"/>
      <c r="E325" s="34"/>
      <c r="F325" s="34"/>
      <c r="G325" s="34"/>
    </row>
    <row r="326" spans="1:7" x14ac:dyDescent="0.3">
      <c r="A326" s="34"/>
      <c r="B326" s="34"/>
      <c r="C326" s="34"/>
      <c r="D326" s="34"/>
      <c r="E326" s="34"/>
      <c r="F326" s="34"/>
      <c r="G326" s="34"/>
    </row>
    <row r="327" spans="1:7" x14ac:dyDescent="0.3">
      <c r="A327" s="34"/>
      <c r="B327" s="34"/>
      <c r="C327" s="34"/>
      <c r="D327" s="34"/>
      <c r="E327" s="34"/>
      <c r="F327" s="34"/>
      <c r="G327" s="34"/>
    </row>
    <row r="328" spans="1:7" x14ac:dyDescent="0.3">
      <c r="A328" s="34"/>
      <c r="B328" s="34"/>
      <c r="C328" s="34"/>
      <c r="D328" s="34"/>
      <c r="E328" s="34"/>
      <c r="F328" s="34"/>
      <c r="G328" s="34"/>
    </row>
    <row r="329" spans="1:7" x14ac:dyDescent="0.3">
      <c r="A329" s="34"/>
      <c r="B329" s="34"/>
      <c r="C329" s="34"/>
      <c r="D329" s="34"/>
      <c r="E329" s="34"/>
      <c r="F329" s="34"/>
      <c r="G329" s="34"/>
    </row>
    <row r="330" spans="1:7" x14ac:dyDescent="0.3">
      <c r="A330" s="34"/>
      <c r="B330" s="34"/>
      <c r="C330" s="34"/>
      <c r="D330" s="34"/>
      <c r="E330" s="34"/>
      <c r="F330" s="34"/>
      <c r="G330" s="34"/>
    </row>
    <row r="331" spans="1:7" x14ac:dyDescent="0.3">
      <c r="A331" s="34"/>
      <c r="B331" s="34"/>
      <c r="C331" s="34"/>
      <c r="D331" s="34"/>
      <c r="E331" s="34"/>
      <c r="F331" s="34"/>
      <c r="G331" s="34"/>
    </row>
    <row r="332" spans="1:7" x14ac:dyDescent="0.3">
      <c r="A332" s="34"/>
      <c r="B332" s="34"/>
      <c r="C332" s="34"/>
      <c r="D332" s="34"/>
      <c r="E332" s="34"/>
      <c r="F332" s="34"/>
      <c r="G332" s="34"/>
    </row>
    <row r="333" spans="1:7" x14ac:dyDescent="0.3">
      <c r="A333" s="34"/>
      <c r="B333" s="34"/>
      <c r="C333" s="34"/>
      <c r="D333" s="34"/>
      <c r="E333" s="34"/>
      <c r="F333" s="34"/>
      <c r="G333" s="34"/>
    </row>
    <row r="334" spans="1:7" x14ac:dyDescent="0.3">
      <c r="A334" s="34"/>
      <c r="B334" s="34"/>
      <c r="C334" s="34"/>
      <c r="D334" s="34"/>
      <c r="E334" s="34"/>
      <c r="F334" s="34"/>
      <c r="G334" s="34"/>
    </row>
    <row r="335" spans="1:7" x14ac:dyDescent="0.3">
      <c r="A335" s="34"/>
      <c r="B335" s="34"/>
      <c r="C335" s="34"/>
      <c r="D335" s="34"/>
      <c r="E335" s="34"/>
      <c r="F335" s="34"/>
      <c r="G335" s="34"/>
    </row>
    <row r="336" spans="1:7" x14ac:dyDescent="0.3">
      <c r="A336" s="34"/>
      <c r="B336" s="34"/>
      <c r="C336" s="34"/>
      <c r="D336" s="34"/>
      <c r="E336" s="34"/>
      <c r="F336" s="34"/>
      <c r="G336" s="34"/>
    </row>
    <row r="337" spans="1:7" x14ac:dyDescent="0.3">
      <c r="A337" s="34"/>
      <c r="B337" s="34"/>
      <c r="C337" s="34"/>
      <c r="D337" s="34"/>
      <c r="E337" s="34"/>
      <c r="F337" s="34"/>
      <c r="G337" s="34"/>
    </row>
    <row r="338" spans="1:7" x14ac:dyDescent="0.3">
      <c r="A338" s="34"/>
      <c r="B338" s="34"/>
      <c r="C338" s="34"/>
      <c r="D338" s="34"/>
      <c r="E338" s="34"/>
      <c r="F338" s="34"/>
      <c r="G338" s="34"/>
    </row>
    <row r="339" spans="1:7" x14ac:dyDescent="0.3">
      <c r="A339" s="34"/>
      <c r="B339" s="34"/>
      <c r="C339" s="34"/>
      <c r="D339" s="34"/>
      <c r="E339" s="34"/>
      <c r="F339" s="34"/>
      <c r="G339" s="34"/>
    </row>
    <row r="340" spans="1:7" x14ac:dyDescent="0.3">
      <c r="A340" s="34"/>
      <c r="B340" s="34"/>
      <c r="C340" s="34"/>
      <c r="D340" s="34"/>
      <c r="E340" s="34"/>
      <c r="F340" s="34"/>
      <c r="G340" s="34"/>
    </row>
    <row r="341" spans="1:7" x14ac:dyDescent="0.3">
      <c r="A341" s="34"/>
      <c r="B341" s="34"/>
      <c r="C341" s="34"/>
      <c r="D341" s="34"/>
      <c r="E341" s="34"/>
      <c r="F341" s="34"/>
      <c r="G341" s="34"/>
    </row>
    <row r="342" spans="1:7" x14ac:dyDescent="0.3">
      <c r="A342" s="34"/>
      <c r="B342" s="34"/>
      <c r="C342" s="34"/>
      <c r="D342" s="34"/>
      <c r="E342" s="34"/>
      <c r="F342" s="34"/>
      <c r="G342" s="34"/>
    </row>
    <row r="343" spans="1:7" x14ac:dyDescent="0.3">
      <c r="A343" s="34"/>
      <c r="B343" s="34"/>
      <c r="C343" s="34"/>
      <c r="D343" s="34"/>
      <c r="E343" s="34"/>
      <c r="F343" s="34"/>
      <c r="G343" s="34"/>
    </row>
    <row r="344" spans="1:7" x14ac:dyDescent="0.3">
      <c r="A344" s="34"/>
      <c r="B344" s="34"/>
      <c r="C344" s="34"/>
      <c r="D344" s="34"/>
      <c r="E344" s="34"/>
      <c r="F344" s="34"/>
      <c r="G344" s="34"/>
    </row>
    <row r="345" spans="1:7" x14ac:dyDescent="0.3">
      <c r="A345" s="34"/>
      <c r="B345" s="34"/>
      <c r="C345" s="34"/>
      <c r="D345" s="34"/>
      <c r="E345" s="34"/>
      <c r="F345" s="34"/>
      <c r="G345" s="34"/>
    </row>
    <row r="346" spans="1:7" x14ac:dyDescent="0.3">
      <c r="A346" s="34"/>
      <c r="B346" s="34"/>
      <c r="C346" s="34"/>
      <c r="D346" s="34"/>
      <c r="E346" s="34"/>
      <c r="F346" s="34"/>
      <c r="G346" s="34"/>
    </row>
    <row r="347" spans="1:7" x14ac:dyDescent="0.3">
      <c r="A347" s="34"/>
      <c r="B347" s="34"/>
      <c r="C347" s="34"/>
      <c r="D347" s="34"/>
      <c r="E347" s="34"/>
      <c r="F347" s="34"/>
      <c r="G347" s="34"/>
    </row>
    <row r="348" spans="1:7" x14ac:dyDescent="0.3">
      <c r="A348" s="34"/>
      <c r="B348" s="34"/>
      <c r="C348" s="34"/>
      <c r="D348" s="34"/>
      <c r="E348" s="34"/>
      <c r="F348" s="34"/>
      <c r="G348" s="34"/>
    </row>
    <row r="349" spans="1:7" x14ac:dyDescent="0.3">
      <c r="A349" s="34"/>
      <c r="B349" s="34"/>
      <c r="C349" s="34"/>
      <c r="D349" s="34"/>
      <c r="E349" s="34"/>
      <c r="F349" s="34"/>
      <c r="G349" s="34"/>
    </row>
    <row r="350" spans="1:7" x14ac:dyDescent="0.3">
      <c r="A350" s="34"/>
      <c r="B350" s="34"/>
      <c r="C350" s="34"/>
      <c r="D350" s="34"/>
      <c r="E350" s="34"/>
      <c r="F350" s="34"/>
      <c r="G350" s="34"/>
    </row>
    <row r="351" spans="1:7" x14ac:dyDescent="0.3">
      <c r="A351" s="34"/>
      <c r="B351" s="34"/>
      <c r="C351" s="34"/>
      <c r="D351" s="34"/>
      <c r="E351" s="34"/>
      <c r="F351" s="34"/>
      <c r="G351" s="34"/>
    </row>
    <row r="352" spans="1:7" x14ac:dyDescent="0.3">
      <c r="A352" s="34"/>
      <c r="B352" s="34"/>
      <c r="C352" s="34"/>
      <c r="D352" s="34"/>
      <c r="E352" s="34"/>
      <c r="F352" s="34"/>
      <c r="G352" s="34"/>
    </row>
    <row r="353" spans="1:7" x14ac:dyDescent="0.3">
      <c r="A353" s="34"/>
      <c r="B353" s="34"/>
      <c r="C353" s="34"/>
      <c r="D353" s="34"/>
      <c r="E353" s="34"/>
      <c r="F353" s="34"/>
      <c r="G353" s="34"/>
    </row>
    <row r="354" spans="1:7" x14ac:dyDescent="0.3">
      <c r="A354" s="34"/>
      <c r="B354" s="34"/>
      <c r="C354" s="34"/>
      <c r="D354" s="34"/>
      <c r="E354" s="34"/>
      <c r="F354" s="34"/>
      <c r="G354" s="34"/>
    </row>
    <row r="355" spans="1:7" x14ac:dyDescent="0.3">
      <c r="A355" s="34"/>
      <c r="B355" s="34"/>
      <c r="C355" s="34"/>
      <c r="D355" s="34"/>
      <c r="E355" s="34"/>
      <c r="F355" s="34"/>
      <c r="G355" s="34"/>
    </row>
    <row r="356" spans="1:7" x14ac:dyDescent="0.3">
      <c r="A356" s="34"/>
      <c r="B356" s="34"/>
      <c r="C356" s="34"/>
      <c r="D356" s="34"/>
      <c r="E356" s="34"/>
      <c r="F356" s="34"/>
      <c r="G356" s="34"/>
    </row>
    <row r="357" spans="1:7" x14ac:dyDescent="0.3">
      <c r="A357" s="34"/>
      <c r="B357" s="34"/>
      <c r="C357" s="34"/>
      <c r="D357" s="34"/>
      <c r="E357" s="34"/>
      <c r="F357" s="34"/>
      <c r="G357" s="34"/>
    </row>
    <row r="358" spans="1:7" x14ac:dyDescent="0.3">
      <c r="A358" s="34"/>
      <c r="B358" s="34"/>
      <c r="C358" s="34"/>
      <c r="D358" s="34"/>
      <c r="E358" s="34"/>
      <c r="F358" s="34"/>
      <c r="G358" s="34"/>
    </row>
    <row r="359" spans="1:7" x14ac:dyDescent="0.3">
      <c r="A359" s="34"/>
      <c r="B359" s="34"/>
      <c r="C359" s="34"/>
      <c r="D359" s="34"/>
      <c r="E359" s="34"/>
      <c r="F359" s="34"/>
      <c r="G359" s="34"/>
    </row>
    <row r="360" spans="1:7" x14ac:dyDescent="0.3">
      <c r="A360" s="34"/>
      <c r="B360" s="34"/>
      <c r="C360" s="34"/>
      <c r="D360" s="34"/>
      <c r="E360" s="34"/>
      <c r="F360" s="34"/>
      <c r="G360" s="34"/>
    </row>
    <row r="361" spans="1:7" x14ac:dyDescent="0.3">
      <c r="A361" s="34"/>
      <c r="B361" s="34"/>
      <c r="C361" s="34"/>
      <c r="D361" s="34"/>
      <c r="E361" s="34"/>
      <c r="F361" s="34"/>
      <c r="G361" s="34"/>
    </row>
    <row r="362" spans="1:7" x14ac:dyDescent="0.3">
      <c r="A362" s="34"/>
      <c r="B362" s="34"/>
      <c r="C362" s="34"/>
      <c r="D362" s="34"/>
      <c r="E362" s="34"/>
      <c r="F362" s="34"/>
      <c r="G362" s="34"/>
    </row>
    <row r="363" spans="1:7" x14ac:dyDescent="0.3">
      <c r="A363" s="34"/>
      <c r="B363" s="34"/>
      <c r="C363" s="34"/>
      <c r="D363" s="34"/>
      <c r="E363" s="34"/>
      <c r="F363" s="34"/>
      <c r="G363" s="34"/>
    </row>
    <row r="364" spans="1:7" x14ac:dyDescent="0.3">
      <c r="A364" s="34"/>
      <c r="B364" s="34"/>
      <c r="C364" s="34"/>
      <c r="D364" s="34"/>
      <c r="E364" s="34"/>
      <c r="F364" s="34"/>
      <c r="G364" s="34"/>
    </row>
    <row r="365" spans="1:7" x14ac:dyDescent="0.3">
      <c r="A365" s="34"/>
      <c r="B365" s="34"/>
      <c r="C365" s="34"/>
      <c r="D365" s="34"/>
      <c r="E365" s="34"/>
      <c r="F365" s="34"/>
      <c r="G365" s="34"/>
    </row>
    <row r="366" spans="1:7" x14ac:dyDescent="0.3">
      <c r="A366" s="34"/>
      <c r="B366" s="34"/>
      <c r="C366" s="34"/>
      <c r="D366" s="34"/>
      <c r="E366" s="34"/>
      <c r="F366" s="34"/>
      <c r="G366" s="34"/>
    </row>
    <row r="367" spans="1:7" x14ac:dyDescent="0.3">
      <c r="A367" s="34"/>
      <c r="B367" s="34"/>
      <c r="C367" s="34"/>
      <c r="D367" s="34"/>
      <c r="E367" s="34"/>
      <c r="F367" s="34"/>
      <c r="G367" s="34"/>
    </row>
    <row r="368" spans="1:7" x14ac:dyDescent="0.3">
      <c r="A368" s="34"/>
      <c r="B368" s="34"/>
      <c r="C368" s="34"/>
      <c r="D368" s="34"/>
      <c r="E368" s="34"/>
      <c r="F368" s="34"/>
      <c r="G368" s="34"/>
    </row>
    <row r="369" spans="1:7" x14ac:dyDescent="0.3">
      <c r="A369" s="34"/>
      <c r="B369" s="34"/>
      <c r="C369" s="34"/>
      <c r="D369" s="34"/>
      <c r="E369" s="34"/>
      <c r="F369" s="34"/>
      <c r="G369" s="34"/>
    </row>
    <row r="370" spans="1:7" x14ac:dyDescent="0.3">
      <c r="A370" s="34"/>
      <c r="B370" s="34"/>
      <c r="C370" s="34"/>
      <c r="D370" s="34"/>
      <c r="E370" s="34"/>
      <c r="F370" s="34"/>
      <c r="G370" s="34"/>
    </row>
    <row r="371" spans="1:7" x14ac:dyDescent="0.3">
      <c r="A371" s="34"/>
      <c r="B371" s="34"/>
      <c r="C371" s="34"/>
      <c r="D371" s="34"/>
      <c r="E371" s="34"/>
      <c r="F371" s="34"/>
      <c r="G371" s="34"/>
    </row>
    <row r="372" spans="1:7" x14ac:dyDescent="0.3">
      <c r="A372" s="34"/>
      <c r="B372" s="34"/>
      <c r="C372" s="34"/>
      <c r="D372" s="34"/>
      <c r="E372" s="34"/>
      <c r="F372" s="34"/>
      <c r="G372" s="34"/>
    </row>
    <row r="373" spans="1:7" x14ac:dyDescent="0.3">
      <c r="A373" s="34"/>
      <c r="B373" s="34"/>
      <c r="C373" s="34"/>
      <c r="D373" s="34"/>
      <c r="E373" s="34"/>
      <c r="F373" s="34"/>
      <c r="G373" s="34"/>
    </row>
    <row r="374" spans="1:7" x14ac:dyDescent="0.3">
      <c r="A374" s="34"/>
      <c r="B374" s="34"/>
      <c r="C374" s="34"/>
      <c r="D374" s="34"/>
      <c r="E374" s="34"/>
      <c r="F374" s="34"/>
      <c r="G374" s="34"/>
    </row>
    <row r="375" spans="1:7" x14ac:dyDescent="0.3">
      <c r="A375" s="34"/>
      <c r="B375" s="34"/>
      <c r="C375" s="34"/>
      <c r="D375" s="34"/>
      <c r="E375" s="34"/>
      <c r="F375" s="34"/>
      <c r="G375" s="34"/>
    </row>
    <row r="376" spans="1:7" x14ac:dyDescent="0.3">
      <c r="A376" s="34"/>
      <c r="B376" s="34"/>
      <c r="C376" s="34"/>
      <c r="D376" s="34"/>
      <c r="E376" s="34"/>
      <c r="F376" s="34"/>
      <c r="G376" s="34"/>
    </row>
    <row r="377" spans="1:7" x14ac:dyDescent="0.3">
      <c r="A377" s="34"/>
      <c r="B377" s="34"/>
      <c r="C377" s="34"/>
      <c r="D377" s="34"/>
      <c r="E377" s="34"/>
      <c r="F377" s="34"/>
      <c r="G377" s="34"/>
    </row>
    <row r="378" spans="1:7" x14ac:dyDescent="0.3">
      <c r="A378" s="34"/>
      <c r="B378" s="34"/>
      <c r="C378" s="34"/>
      <c r="D378" s="34"/>
      <c r="E378" s="34"/>
      <c r="F378" s="34"/>
      <c r="G378" s="34"/>
    </row>
    <row r="379" spans="1:7" x14ac:dyDescent="0.3">
      <c r="A379" s="34"/>
      <c r="B379" s="34"/>
      <c r="C379" s="34"/>
      <c r="D379" s="34"/>
      <c r="E379" s="34"/>
      <c r="F379" s="34"/>
      <c r="G379" s="34"/>
    </row>
    <row r="380" spans="1:7" x14ac:dyDescent="0.3">
      <c r="A380" s="34"/>
      <c r="B380" s="34"/>
      <c r="C380" s="34"/>
      <c r="D380" s="34"/>
      <c r="E380" s="34"/>
      <c r="F380" s="34"/>
      <c r="G380" s="34"/>
    </row>
    <row r="381" spans="1:7" x14ac:dyDescent="0.3">
      <c r="A381" s="34"/>
      <c r="B381" s="34"/>
      <c r="C381" s="34"/>
      <c r="D381" s="34"/>
      <c r="E381" s="34"/>
      <c r="F381" s="34"/>
      <c r="G381" s="34"/>
    </row>
    <row r="382" spans="1:7" x14ac:dyDescent="0.3">
      <c r="A382" s="34"/>
      <c r="B382" s="34"/>
      <c r="C382" s="34"/>
      <c r="D382" s="34"/>
      <c r="E382" s="34"/>
      <c r="F382" s="34"/>
      <c r="G382" s="34"/>
    </row>
    <row r="383" spans="1:7" x14ac:dyDescent="0.3">
      <c r="A383" s="34"/>
      <c r="B383" s="34"/>
      <c r="C383" s="34"/>
      <c r="D383" s="34"/>
      <c r="E383" s="34"/>
      <c r="F383" s="34"/>
      <c r="G383" s="34"/>
    </row>
    <row r="384" spans="1:7" x14ac:dyDescent="0.3">
      <c r="A384" s="34"/>
      <c r="B384" s="34"/>
      <c r="C384" s="34"/>
      <c r="D384" s="34"/>
      <c r="E384" s="34"/>
      <c r="F384" s="34"/>
      <c r="G384" s="34"/>
    </row>
    <row r="385" spans="1:7" x14ac:dyDescent="0.3">
      <c r="A385" s="34"/>
      <c r="B385" s="34"/>
      <c r="C385" s="34"/>
      <c r="D385" s="34"/>
      <c r="E385" s="34"/>
      <c r="F385" s="34"/>
      <c r="G385" s="34"/>
    </row>
    <row r="386" spans="1:7" x14ac:dyDescent="0.3">
      <c r="A386" s="34"/>
      <c r="B386" s="34"/>
      <c r="C386" s="34"/>
      <c r="D386" s="34"/>
      <c r="E386" s="34"/>
      <c r="F386" s="34"/>
      <c r="G386" s="34"/>
    </row>
    <row r="387" spans="1:7" x14ac:dyDescent="0.3">
      <c r="A387" s="34"/>
      <c r="B387" s="34"/>
      <c r="C387" s="34"/>
      <c r="D387" s="34"/>
      <c r="E387" s="34"/>
      <c r="F387" s="34"/>
      <c r="G387" s="34"/>
    </row>
    <row r="388" spans="1:7" x14ac:dyDescent="0.3">
      <c r="A388" s="34"/>
      <c r="B388" s="34"/>
      <c r="C388" s="34"/>
      <c r="D388" s="34"/>
      <c r="E388" s="34"/>
      <c r="F388" s="34"/>
      <c r="G388" s="34"/>
    </row>
    <row r="389" spans="1:7" x14ac:dyDescent="0.3">
      <c r="A389" s="34"/>
      <c r="B389" s="34"/>
      <c r="C389" s="34"/>
      <c r="D389" s="34"/>
      <c r="E389" s="34"/>
      <c r="F389" s="34"/>
      <c r="G389" s="34"/>
    </row>
    <row r="390" spans="1:7" x14ac:dyDescent="0.3">
      <c r="A390" s="34"/>
      <c r="B390" s="34"/>
      <c r="C390" s="34"/>
      <c r="D390" s="34"/>
      <c r="E390" s="34"/>
      <c r="F390" s="34"/>
      <c r="G390" s="34"/>
    </row>
    <row r="391" spans="1:7" x14ac:dyDescent="0.3">
      <c r="A391" s="34"/>
      <c r="B391" s="34"/>
      <c r="C391" s="34"/>
      <c r="D391" s="34"/>
      <c r="E391" s="34"/>
      <c r="F391" s="34"/>
      <c r="G391" s="34"/>
    </row>
    <row r="392" spans="1:7" x14ac:dyDescent="0.3">
      <c r="A392" s="34"/>
      <c r="B392" s="34"/>
      <c r="C392" s="34"/>
      <c r="D392" s="34"/>
      <c r="E392" s="34"/>
      <c r="F392" s="34"/>
      <c r="G392" s="34"/>
    </row>
    <row r="393" spans="1:7" x14ac:dyDescent="0.3">
      <c r="A393" s="34"/>
      <c r="B393" s="34"/>
      <c r="C393" s="34"/>
      <c r="D393" s="34"/>
      <c r="E393" s="34"/>
      <c r="F393" s="34"/>
      <c r="G393" s="34"/>
    </row>
    <row r="394" spans="1:7" x14ac:dyDescent="0.3">
      <c r="A394" s="34"/>
      <c r="B394" s="34"/>
      <c r="C394" s="34"/>
      <c r="D394" s="34"/>
      <c r="E394" s="34"/>
      <c r="F394" s="34"/>
      <c r="G394" s="34"/>
    </row>
    <row r="395" spans="1:7" x14ac:dyDescent="0.3">
      <c r="A395" s="34"/>
      <c r="B395" s="34"/>
      <c r="C395" s="34"/>
      <c r="D395" s="34"/>
      <c r="E395" s="34"/>
      <c r="F395" s="34"/>
      <c r="G395" s="34"/>
    </row>
    <row r="396" spans="1:7" x14ac:dyDescent="0.3">
      <c r="A396" s="34"/>
      <c r="B396" s="34"/>
      <c r="C396" s="34"/>
      <c r="D396" s="34"/>
      <c r="E396" s="34"/>
      <c r="F396" s="34"/>
      <c r="G396" s="34"/>
    </row>
    <row r="397" spans="1:7" x14ac:dyDescent="0.3">
      <c r="A397" s="34"/>
      <c r="B397" s="34"/>
      <c r="C397" s="34"/>
      <c r="D397" s="34"/>
      <c r="E397" s="34"/>
      <c r="F397" s="34"/>
      <c r="G397" s="34"/>
    </row>
    <row r="398" spans="1:7" x14ac:dyDescent="0.3">
      <c r="A398" s="34"/>
      <c r="B398" s="34"/>
      <c r="C398" s="34"/>
      <c r="D398" s="34"/>
      <c r="E398" s="34"/>
      <c r="F398" s="34"/>
      <c r="G398" s="34"/>
    </row>
    <row r="399" spans="1:7" x14ac:dyDescent="0.3">
      <c r="A399" s="34"/>
      <c r="B399" s="34"/>
      <c r="C399" s="34"/>
      <c r="D399" s="34"/>
      <c r="E399" s="34"/>
      <c r="F399" s="34"/>
      <c r="G399" s="34"/>
    </row>
    <row r="400" spans="1:7" x14ac:dyDescent="0.3">
      <c r="A400" s="34"/>
      <c r="B400" s="34"/>
      <c r="C400" s="34"/>
      <c r="D400" s="34"/>
      <c r="E400" s="34"/>
      <c r="F400" s="34"/>
      <c r="G400" s="34"/>
    </row>
    <row r="401" spans="1:7" x14ac:dyDescent="0.3">
      <c r="A401" s="34"/>
      <c r="B401" s="34"/>
      <c r="C401" s="34"/>
      <c r="D401" s="34"/>
      <c r="E401" s="34"/>
      <c r="F401" s="34"/>
      <c r="G401" s="34"/>
    </row>
    <row r="402" spans="1:7" x14ac:dyDescent="0.3">
      <c r="A402" s="34"/>
      <c r="B402" s="34"/>
      <c r="C402" s="34"/>
      <c r="D402" s="34"/>
      <c r="E402" s="34"/>
      <c r="F402" s="34"/>
      <c r="G402" s="34"/>
    </row>
    <row r="403" spans="1:7" x14ac:dyDescent="0.3">
      <c r="A403" s="34"/>
      <c r="B403" s="34"/>
      <c r="C403" s="34"/>
      <c r="D403" s="34"/>
      <c r="E403" s="34"/>
      <c r="F403" s="34"/>
      <c r="G403" s="34"/>
    </row>
    <row r="404" spans="1:7" x14ac:dyDescent="0.3">
      <c r="A404" s="34"/>
      <c r="B404" s="34"/>
      <c r="C404" s="34"/>
      <c r="D404" s="34"/>
      <c r="E404" s="34"/>
      <c r="F404" s="34"/>
      <c r="G404" s="34"/>
    </row>
    <row r="405" spans="1:7" x14ac:dyDescent="0.3">
      <c r="A405" s="34"/>
      <c r="B405" s="34"/>
      <c r="C405" s="34"/>
      <c r="D405" s="34"/>
      <c r="E405" s="34"/>
      <c r="F405" s="34"/>
      <c r="G405" s="34"/>
    </row>
    <row r="406" spans="1:7" x14ac:dyDescent="0.3">
      <c r="A406" s="34"/>
      <c r="B406" s="34"/>
      <c r="C406" s="34"/>
      <c r="D406" s="34"/>
      <c r="E406" s="34"/>
      <c r="F406" s="34"/>
      <c r="G406" s="34"/>
    </row>
    <row r="407" spans="1:7" x14ac:dyDescent="0.3">
      <c r="A407" s="34"/>
      <c r="B407" s="34"/>
      <c r="C407" s="34"/>
      <c r="D407" s="34"/>
      <c r="E407" s="34"/>
      <c r="F407" s="34"/>
      <c r="G407" s="34"/>
    </row>
    <row r="408" spans="1:7" x14ac:dyDescent="0.3">
      <c r="A408" s="34"/>
      <c r="B408" s="34"/>
      <c r="C408" s="34"/>
      <c r="D408" s="34"/>
      <c r="E408" s="34"/>
      <c r="F408" s="34"/>
      <c r="G408" s="34"/>
    </row>
    <row r="409" spans="1:7" x14ac:dyDescent="0.3">
      <c r="A409" s="34"/>
      <c r="B409" s="34"/>
      <c r="C409" s="34"/>
      <c r="D409" s="34"/>
      <c r="E409" s="34"/>
      <c r="F409" s="34"/>
      <c r="G409" s="34"/>
    </row>
    <row r="410" spans="1:7" x14ac:dyDescent="0.3">
      <c r="A410" s="34"/>
      <c r="B410" s="34"/>
      <c r="C410" s="34"/>
      <c r="D410" s="34"/>
      <c r="E410" s="34"/>
      <c r="F410" s="34"/>
      <c r="G410" s="34"/>
    </row>
    <row r="411" spans="1:7" x14ac:dyDescent="0.3">
      <c r="A411" s="34"/>
      <c r="B411" s="34"/>
      <c r="C411" s="34"/>
      <c r="D411" s="34"/>
      <c r="E411" s="34"/>
      <c r="F411" s="34"/>
      <c r="G411" s="34"/>
    </row>
    <row r="412" spans="1:7" x14ac:dyDescent="0.3">
      <c r="A412" s="34"/>
      <c r="B412" s="34"/>
      <c r="C412" s="34"/>
      <c r="D412" s="34"/>
      <c r="E412" s="34"/>
      <c r="F412" s="34"/>
      <c r="G412" s="34"/>
    </row>
    <row r="413" spans="1:7" x14ac:dyDescent="0.3">
      <c r="A413" s="34"/>
      <c r="B413" s="34"/>
      <c r="C413" s="34"/>
      <c r="D413" s="34"/>
      <c r="E413" s="34"/>
      <c r="F413" s="34"/>
      <c r="G413" s="34"/>
    </row>
    <row r="414" spans="1:7" x14ac:dyDescent="0.3">
      <c r="A414" s="34"/>
      <c r="B414" s="34"/>
      <c r="C414" s="34"/>
      <c r="D414" s="34"/>
      <c r="E414" s="34"/>
      <c r="F414" s="34"/>
      <c r="G414" s="34"/>
    </row>
    <row r="415" spans="1:7" x14ac:dyDescent="0.3">
      <c r="A415" s="34"/>
      <c r="B415" s="34"/>
      <c r="C415" s="34"/>
      <c r="D415" s="34"/>
      <c r="E415" s="34"/>
      <c r="F415" s="34"/>
      <c r="G415" s="34"/>
    </row>
    <row r="416" spans="1:7" x14ac:dyDescent="0.3">
      <c r="A416" s="34"/>
      <c r="B416" s="34"/>
      <c r="C416" s="34"/>
      <c r="D416" s="34"/>
      <c r="E416" s="34"/>
      <c r="F416" s="34"/>
      <c r="G416" s="34"/>
    </row>
    <row r="417" spans="1:7" x14ac:dyDescent="0.3">
      <c r="A417" s="34"/>
      <c r="B417" s="34"/>
      <c r="C417" s="34"/>
      <c r="D417" s="34"/>
      <c r="E417" s="34"/>
      <c r="F417" s="34"/>
      <c r="G417" s="34"/>
    </row>
    <row r="418" spans="1:7" x14ac:dyDescent="0.3">
      <c r="A418" s="34"/>
      <c r="B418" s="34"/>
      <c r="C418" s="34"/>
      <c r="D418" s="34"/>
      <c r="E418" s="34"/>
      <c r="F418" s="34"/>
      <c r="G418" s="34"/>
    </row>
    <row r="419" spans="1:7" x14ac:dyDescent="0.3">
      <c r="A419" s="34"/>
      <c r="B419" s="34"/>
      <c r="C419" s="34"/>
      <c r="D419" s="34"/>
      <c r="E419" s="34"/>
      <c r="F419" s="34"/>
      <c r="G419" s="34"/>
    </row>
    <row r="420" spans="1:7" x14ac:dyDescent="0.3">
      <c r="A420" s="34"/>
      <c r="B420" s="34"/>
      <c r="C420" s="34"/>
      <c r="D420" s="34"/>
      <c r="E420" s="34"/>
      <c r="F420" s="34"/>
      <c r="G420" s="34"/>
    </row>
    <row r="421" spans="1:7" x14ac:dyDescent="0.3">
      <c r="A421" s="34"/>
      <c r="B421" s="34"/>
      <c r="C421" s="34"/>
      <c r="D421" s="34"/>
      <c r="E421" s="34"/>
      <c r="F421" s="34"/>
      <c r="G421" s="34"/>
    </row>
    <row r="422" spans="1:7" x14ac:dyDescent="0.3">
      <c r="A422" s="34"/>
      <c r="B422" s="34"/>
      <c r="C422" s="34"/>
      <c r="D422" s="34"/>
      <c r="E422" s="34"/>
      <c r="F422" s="34"/>
      <c r="G422" s="34"/>
    </row>
    <row r="423" spans="1:7" x14ac:dyDescent="0.3">
      <c r="A423" s="34"/>
      <c r="B423" s="34"/>
      <c r="C423" s="34"/>
      <c r="D423" s="34"/>
      <c r="E423" s="34"/>
      <c r="F423" s="34"/>
      <c r="G423" s="34"/>
    </row>
    <row r="424" spans="1:7" x14ac:dyDescent="0.3">
      <c r="A424" s="34"/>
      <c r="B424" s="34"/>
      <c r="C424" s="34"/>
      <c r="D424" s="34"/>
      <c r="E424" s="34"/>
      <c r="F424" s="34"/>
      <c r="G424" s="34"/>
    </row>
    <row r="425" spans="1:7" x14ac:dyDescent="0.3">
      <c r="A425" s="34"/>
      <c r="B425" s="34"/>
      <c r="C425" s="34"/>
      <c r="D425" s="34"/>
      <c r="E425" s="34"/>
      <c r="F425" s="34"/>
      <c r="G425" s="34"/>
    </row>
    <row r="426" spans="1:7" x14ac:dyDescent="0.3">
      <c r="A426" s="34"/>
      <c r="B426" s="34"/>
      <c r="C426" s="34"/>
      <c r="D426" s="34"/>
      <c r="E426" s="34"/>
      <c r="F426" s="34"/>
      <c r="G426" s="34"/>
    </row>
    <row r="427" spans="1:7" x14ac:dyDescent="0.3">
      <c r="A427" s="34"/>
      <c r="B427" s="34"/>
      <c r="C427" s="34"/>
      <c r="D427" s="34"/>
      <c r="E427" s="34"/>
      <c r="F427" s="34"/>
      <c r="G427" s="34"/>
    </row>
    <row r="428" spans="1:7" x14ac:dyDescent="0.3">
      <c r="A428" s="34"/>
      <c r="B428" s="34"/>
      <c r="C428" s="34"/>
      <c r="D428" s="34"/>
      <c r="E428" s="34"/>
      <c r="F428" s="34"/>
      <c r="G428" s="34"/>
    </row>
    <row r="429" spans="1:7" x14ac:dyDescent="0.3">
      <c r="A429" s="34"/>
      <c r="B429" s="34"/>
      <c r="C429" s="34"/>
      <c r="D429" s="34"/>
      <c r="E429" s="34"/>
      <c r="F429" s="34"/>
      <c r="G429" s="34"/>
    </row>
    <row r="430" spans="1:7" x14ac:dyDescent="0.3">
      <c r="A430" s="34"/>
      <c r="B430" s="34"/>
      <c r="C430" s="34"/>
      <c r="D430" s="34"/>
      <c r="E430" s="34"/>
      <c r="F430" s="34"/>
      <c r="G430" s="34"/>
    </row>
    <row r="431" spans="1:7" x14ac:dyDescent="0.3">
      <c r="A431" s="34"/>
      <c r="B431" s="34"/>
      <c r="C431" s="34"/>
      <c r="D431" s="34"/>
      <c r="E431" s="34"/>
      <c r="F431" s="34"/>
      <c r="G431" s="34"/>
    </row>
    <row r="432" spans="1:7" x14ac:dyDescent="0.3">
      <c r="A432" s="34"/>
      <c r="B432" s="34"/>
      <c r="C432" s="34"/>
      <c r="D432" s="34"/>
      <c r="E432" s="34"/>
      <c r="F432" s="34"/>
      <c r="G432" s="34"/>
    </row>
    <row r="433" spans="1:7" x14ac:dyDescent="0.3">
      <c r="A433" s="34"/>
      <c r="B433" s="34"/>
      <c r="C433" s="34"/>
      <c r="D433" s="34"/>
      <c r="E433" s="34"/>
      <c r="F433" s="34"/>
      <c r="G433" s="34"/>
    </row>
    <row r="434" spans="1:7" x14ac:dyDescent="0.3">
      <c r="A434" s="34"/>
      <c r="B434" s="34"/>
      <c r="C434" s="34"/>
      <c r="D434" s="34"/>
      <c r="E434" s="34"/>
      <c r="F434" s="34"/>
      <c r="G434" s="34"/>
    </row>
    <row r="435" spans="1:7" x14ac:dyDescent="0.3">
      <c r="A435" s="34"/>
      <c r="B435" s="34"/>
      <c r="C435" s="34"/>
      <c r="D435" s="34"/>
      <c r="E435" s="34"/>
      <c r="F435" s="34"/>
      <c r="G435" s="34"/>
    </row>
    <row r="436" spans="1:7" x14ac:dyDescent="0.3">
      <c r="A436" s="34"/>
      <c r="B436" s="34"/>
      <c r="C436" s="34"/>
      <c r="D436" s="34"/>
      <c r="E436" s="34"/>
      <c r="F436" s="34"/>
      <c r="G436" s="34"/>
    </row>
    <row r="437" spans="1:7" x14ac:dyDescent="0.3">
      <c r="A437" s="34"/>
      <c r="B437" s="34"/>
      <c r="C437" s="34"/>
      <c r="D437" s="34"/>
      <c r="E437" s="34"/>
      <c r="F437" s="34"/>
      <c r="G437" s="34"/>
    </row>
    <row r="438" spans="1:7" x14ac:dyDescent="0.3">
      <c r="A438" s="34"/>
      <c r="B438" s="34"/>
      <c r="C438" s="34"/>
      <c r="D438" s="34"/>
      <c r="E438" s="34"/>
      <c r="F438" s="34"/>
      <c r="G438" s="34"/>
    </row>
    <row r="439" spans="1:7" x14ac:dyDescent="0.3">
      <c r="A439" s="34"/>
      <c r="B439" s="34"/>
      <c r="C439" s="34"/>
      <c r="D439" s="34"/>
      <c r="E439" s="34"/>
      <c r="F439" s="34"/>
      <c r="G439" s="34"/>
    </row>
    <row r="440" spans="1:7" x14ac:dyDescent="0.3">
      <c r="A440" s="34"/>
      <c r="B440" s="34"/>
      <c r="C440" s="34"/>
      <c r="D440" s="34"/>
      <c r="E440" s="34"/>
      <c r="F440" s="34"/>
      <c r="G440" s="34"/>
    </row>
    <row r="441" spans="1:7" x14ac:dyDescent="0.3">
      <c r="A441" s="34"/>
      <c r="B441" s="34"/>
      <c r="C441" s="34"/>
      <c r="D441" s="34"/>
      <c r="E441" s="34"/>
      <c r="F441" s="34"/>
      <c r="G441" s="34"/>
    </row>
    <row r="442" spans="1:7" x14ac:dyDescent="0.3">
      <c r="A442" s="34"/>
      <c r="B442" s="34"/>
      <c r="C442" s="34"/>
      <c r="D442" s="34"/>
      <c r="E442" s="34"/>
      <c r="F442" s="34"/>
      <c r="G442" s="34"/>
    </row>
    <row r="443" spans="1:7" x14ac:dyDescent="0.3">
      <c r="A443" s="34"/>
      <c r="B443" s="34"/>
      <c r="C443" s="34"/>
      <c r="D443" s="34"/>
      <c r="E443" s="34"/>
      <c r="F443" s="34"/>
      <c r="G443" s="34"/>
    </row>
    <row r="444" spans="1:7" x14ac:dyDescent="0.3">
      <c r="A444" s="34"/>
      <c r="B444" s="34"/>
      <c r="C444" s="34"/>
      <c r="D444" s="34"/>
      <c r="E444" s="34"/>
      <c r="F444" s="34"/>
      <c r="G444" s="34"/>
    </row>
    <row r="445" spans="1:7" x14ac:dyDescent="0.3">
      <c r="A445" s="34"/>
      <c r="B445" s="34"/>
      <c r="C445" s="34"/>
      <c r="D445" s="34"/>
      <c r="E445" s="34"/>
      <c r="F445" s="34"/>
      <c r="G445" s="34"/>
    </row>
    <row r="446" spans="1:7" x14ac:dyDescent="0.3">
      <c r="A446" s="34"/>
      <c r="B446" s="34"/>
      <c r="C446" s="34"/>
      <c r="D446" s="34"/>
      <c r="E446" s="34"/>
      <c r="F446" s="34"/>
      <c r="G446" s="34"/>
    </row>
    <row r="447" spans="1:7" x14ac:dyDescent="0.3">
      <c r="A447" s="34"/>
      <c r="B447" s="34"/>
      <c r="C447" s="34"/>
      <c r="D447" s="34"/>
      <c r="E447" s="34"/>
      <c r="F447" s="34"/>
      <c r="G447" s="34"/>
    </row>
    <row r="448" spans="1:7" x14ac:dyDescent="0.3">
      <c r="A448" s="34"/>
      <c r="B448" s="34"/>
      <c r="C448" s="34"/>
      <c r="D448" s="34"/>
      <c r="E448" s="34"/>
      <c r="F448" s="34"/>
      <c r="G448" s="34"/>
    </row>
    <row r="449" spans="1:7" x14ac:dyDescent="0.3">
      <c r="A449" s="34"/>
      <c r="B449" s="34"/>
      <c r="C449" s="34"/>
      <c r="D449" s="34"/>
      <c r="E449" s="34"/>
      <c r="F449" s="34"/>
      <c r="G449" s="34"/>
    </row>
    <row r="450" spans="1:7" x14ac:dyDescent="0.3">
      <c r="A450" s="34"/>
      <c r="B450" s="34"/>
      <c r="C450" s="34"/>
      <c r="D450" s="34"/>
      <c r="E450" s="34"/>
      <c r="F450" s="34"/>
      <c r="G450" s="34"/>
    </row>
    <row r="451" spans="1:7" x14ac:dyDescent="0.3">
      <c r="A451" s="34"/>
      <c r="B451" s="34"/>
      <c r="C451" s="34"/>
      <c r="D451" s="34"/>
      <c r="E451" s="34"/>
      <c r="F451" s="34"/>
      <c r="G451" s="34"/>
    </row>
    <row r="452" spans="1:7" x14ac:dyDescent="0.3">
      <c r="A452" s="34"/>
      <c r="B452" s="34"/>
      <c r="C452" s="34"/>
      <c r="D452" s="34"/>
      <c r="E452" s="34"/>
      <c r="F452" s="34"/>
      <c r="G452" s="34"/>
    </row>
    <row r="453" spans="1:7" x14ac:dyDescent="0.3">
      <c r="A453" s="34"/>
      <c r="B453" s="34"/>
      <c r="C453" s="34"/>
      <c r="D453" s="34"/>
      <c r="E453" s="34"/>
      <c r="F453" s="34"/>
      <c r="G453" s="34"/>
    </row>
    <row r="454" spans="1:7" x14ac:dyDescent="0.3">
      <c r="A454" s="34"/>
      <c r="B454" s="34"/>
      <c r="C454" s="34"/>
      <c r="D454" s="34"/>
      <c r="E454" s="34"/>
      <c r="F454" s="34"/>
      <c r="G454" s="34"/>
    </row>
    <row r="455" spans="1:7" x14ac:dyDescent="0.3">
      <c r="A455" s="34"/>
      <c r="B455" s="34"/>
      <c r="C455" s="34"/>
      <c r="D455" s="34"/>
      <c r="E455" s="34"/>
      <c r="F455" s="34"/>
      <c r="G455" s="34"/>
    </row>
    <row r="456" spans="1:7" x14ac:dyDescent="0.3">
      <c r="A456" s="34"/>
      <c r="B456" s="34"/>
      <c r="C456" s="34"/>
      <c r="D456" s="34"/>
      <c r="E456" s="34"/>
      <c r="F456" s="34"/>
      <c r="G456" s="34"/>
    </row>
    <row r="457" spans="1:7" x14ac:dyDescent="0.3">
      <c r="A457" s="34"/>
      <c r="B457" s="34"/>
      <c r="C457" s="34"/>
      <c r="D457" s="34"/>
      <c r="E457" s="34"/>
      <c r="F457" s="34"/>
      <c r="G457" s="34"/>
    </row>
    <row r="458" spans="1:7" x14ac:dyDescent="0.3">
      <c r="A458" s="34"/>
      <c r="B458" s="34"/>
      <c r="C458" s="34"/>
      <c r="D458" s="34"/>
      <c r="E458" s="34"/>
      <c r="F458" s="34"/>
      <c r="G458" s="34"/>
    </row>
    <row r="459" spans="1:7" x14ac:dyDescent="0.3">
      <c r="A459" s="34"/>
      <c r="B459" s="34"/>
      <c r="C459" s="34"/>
      <c r="D459" s="34"/>
      <c r="E459" s="34"/>
      <c r="F459" s="34"/>
      <c r="G459" s="34"/>
    </row>
    <row r="460" spans="1:7" x14ac:dyDescent="0.3">
      <c r="A460" s="34"/>
      <c r="B460" s="34"/>
      <c r="C460" s="34"/>
      <c r="D460" s="34"/>
      <c r="E460" s="34"/>
      <c r="F460" s="34"/>
      <c r="G460" s="34"/>
    </row>
    <row r="461" spans="1:7" x14ac:dyDescent="0.3">
      <c r="A461" s="34"/>
      <c r="B461" s="34"/>
      <c r="C461" s="34"/>
      <c r="D461" s="34"/>
      <c r="E461" s="34"/>
      <c r="F461" s="34"/>
      <c r="G461" s="34"/>
    </row>
    <row r="462" spans="1:7" x14ac:dyDescent="0.3">
      <c r="A462" s="34"/>
      <c r="B462" s="34"/>
      <c r="C462" s="34"/>
      <c r="D462" s="34"/>
      <c r="E462" s="34"/>
      <c r="F462" s="34"/>
      <c r="G462" s="34"/>
    </row>
    <row r="463" spans="1:7" x14ac:dyDescent="0.3">
      <c r="A463" s="34"/>
      <c r="B463" s="34"/>
      <c r="C463" s="34"/>
      <c r="D463" s="34"/>
      <c r="E463" s="34"/>
      <c r="F463" s="34"/>
      <c r="G463" s="34"/>
    </row>
    <row r="464" spans="1:7" x14ac:dyDescent="0.3">
      <c r="A464" s="34"/>
      <c r="B464" s="34"/>
      <c r="C464" s="34"/>
      <c r="D464" s="34"/>
      <c r="E464" s="34"/>
      <c r="F464" s="34"/>
      <c r="G464" s="34"/>
    </row>
    <row r="465" spans="1:7" x14ac:dyDescent="0.3">
      <c r="A465" s="34"/>
      <c r="B465" s="34"/>
      <c r="C465" s="34"/>
      <c r="D465" s="34"/>
      <c r="E465" s="34"/>
      <c r="F465" s="34"/>
      <c r="G465" s="34"/>
    </row>
    <row r="466" spans="1:7" x14ac:dyDescent="0.3">
      <c r="A466" s="34"/>
      <c r="B466" s="34"/>
      <c r="C466" s="34"/>
      <c r="D466" s="34"/>
      <c r="E466" s="34"/>
      <c r="F466" s="34"/>
      <c r="G466" s="34"/>
    </row>
    <row r="467" spans="1:7" x14ac:dyDescent="0.3">
      <c r="A467" s="34"/>
      <c r="B467" s="34"/>
      <c r="C467" s="34"/>
      <c r="D467" s="34"/>
      <c r="E467" s="34"/>
      <c r="F467" s="34"/>
      <c r="G467" s="34"/>
    </row>
    <row r="468" spans="1:7" x14ac:dyDescent="0.3">
      <c r="A468" s="34"/>
      <c r="B468" s="34"/>
      <c r="C468" s="34"/>
      <c r="D468" s="34"/>
      <c r="E468" s="34"/>
      <c r="F468" s="34"/>
      <c r="G468" s="34"/>
    </row>
    <row r="469" spans="1:7" x14ac:dyDescent="0.3">
      <c r="A469" s="34"/>
      <c r="B469" s="34"/>
      <c r="C469" s="34"/>
      <c r="D469" s="34"/>
      <c r="E469" s="34"/>
      <c r="F469" s="34"/>
      <c r="G469" s="34"/>
    </row>
    <row r="470" spans="1:7" x14ac:dyDescent="0.3">
      <c r="A470" s="34"/>
      <c r="B470" s="34"/>
      <c r="C470" s="34"/>
      <c r="D470" s="34"/>
      <c r="E470" s="34"/>
      <c r="F470" s="34"/>
      <c r="G470" s="34"/>
    </row>
    <row r="471" spans="1:7" x14ac:dyDescent="0.3">
      <c r="A471" s="34"/>
      <c r="B471" s="34"/>
      <c r="C471" s="34"/>
      <c r="D471" s="34"/>
      <c r="E471" s="34"/>
      <c r="F471" s="34"/>
      <c r="G471" s="34"/>
    </row>
    <row r="472" spans="1:7" x14ac:dyDescent="0.3">
      <c r="A472" s="34"/>
      <c r="B472" s="34"/>
      <c r="C472" s="34"/>
      <c r="D472" s="34"/>
      <c r="E472" s="34"/>
      <c r="F472" s="34"/>
      <c r="G472" s="34"/>
    </row>
    <row r="473" spans="1:7" x14ac:dyDescent="0.3">
      <c r="A473" s="34"/>
      <c r="B473" s="34"/>
      <c r="C473" s="34"/>
      <c r="D473" s="34"/>
      <c r="E473" s="34"/>
      <c r="F473" s="34"/>
      <c r="G473" s="34"/>
    </row>
    <row r="474" spans="1:7" x14ac:dyDescent="0.3">
      <c r="A474" s="34"/>
      <c r="B474" s="34"/>
      <c r="C474" s="34"/>
      <c r="D474" s="34"/>
      <c r="E474" s="34"/>
      <c r="F474" s="34"/>
      <c r="G474" s="34"/>
    </row>
    <row r="475" spans="1:7" x14ac:dyDescent="0.3">
      <c r="A475" s="34"/>
      <c r="B475" s="34"/>
      <c r="C475" s="34"/>
      <c r="D475" s="34"/>
      <c r="E475" s="34"/>
      <c r="F475" s="34"/>
      <c r="G475" s="34"/>
    </row>
    <row r="476" spans="1:7" x14ac:dyDescent="0.3">
      <c r="A476" s="34"/>
      <c r="B476" s="34"/>
      <c r="C476" s="34"/>
      <c r="D476" s="34"/>
      <c r="E476" s="34"/>
      <c r="F476" s="34"/>
      <c r="G476" s="34"/>
    </row>
    <row r="477" spans="1:7" x14ac:dyDescent="0.3">
      <c r="A477" s="34"/>
      <c r="B477" s="34"/>
      <c r="C477" s="34"/>
      <c r="D477" s="34"/>
      <c r="E477" s="34"/>
      <c r="F477" s="34"/>
      <c r="G477" s="34"/>
    </row>
    <row r="478" spans="1:7" x14ac:dyDescent="0.3">
      <c r="A478" s="34"/>
      <c r="B478" s="34"/>
      <c r="C478" s="34"/>
      <c r="D478" s="34"/>
      <c r="E478" s="34"/>
      <c r="F478" s="34"/>
      <c r="G478" s="34"/>
    </row>
    <row r="479" spans="1:7" x14ac:dyDescent="0.3">
      <c r="A479" s="34"/>
      <c r="B479" s="34"/>
      <c r="C479" s="34"/>
      <c r="D479" s="34"/>
      <c r="E479" s="34"/>
      <c r="F479" s="34"/>
      <c r="G479" s="34"/>
    </row>
    <row r="480" spans="1:7" x14ac:dyDescent="0.3">
      <c r="A480" s="34"/>
      <c r="B480" s="34"/>
      <c r="C480" s="34"/>
      <c r="D480" s="34"/>
      <c r="E480" s="34"/>
      <c r="F480" s="34"/>
      <c r="G480" s="34"/>
    </row>
    <row r="481" spans="1:7" x14ac:dyDescent="0.3">
      <c r="A481" s="34"/>
      <c r="B481" s="34"/>
      <c r="C481" s="34"/>
      <c r="D481" s="34"/>
      <c r="E481" s="34"/>
      <c r="F481" s="34"/>
      <c r="G481" s="34"/>
    </row>
    <row r="482" spans="1:7" x14ac:dyDescent="0.3">
      <c r="A482" s="34"/>
      <c r="B482" s="34"/>
      <c r="C482" s="34"/>
      <c r="D482" s="34"/>
      <c r="E482" s="34"/>
      <c r="F482" s="34"/>
      <c r="G482" s="34"/>
    </row>
    <row r="483" spans="1:7" x14ac:dyDescent="0.3">
      <c r="A483" s="34"/>
      <c r="B483" s="34"/>
      <c r="C483" s="34"/>
      <c r="D483" s="34"/>
      <c r="E483" s="34"/>
      <c r="F483" s="34"/>
      <c r="G483" s="34"/>
    </row>
    <row r="484" spans="1:7" x14ac:dyDescent="0.3">
      <c r="A484" s="34"/>
      <c r="B484" s="34"/>
      <c r="C484" s="34"/>
      <c r="D484" s="34"/>
      <c r="E484" s="34"/>
      <c r="F484" s="34"/>
      <c r="G484" s="34"/>
    </row>
    <row r="485" spans="1:7" x14ac:dyDescent="0.3">
      <c r="A485" s="34"/>
      <c r="B485" s="34"/>
      <c r="C485" s="34"/>
      <c r="D485" s="34"/>
      <c r="E485" s="34"/>
      <c r="F485" s="34"/>
      <c r="G485" s="34"/>
    </row>
    <row r="486" spans="1:7" x14ac:dyDescent="0.3">
      <c r="A486" s="34"/>
      <c r="B486" s="34"/>
      <c r="C486" s="34"/>
      <c r="D486" s="34"/>
      <c r="E486" s="34"/>
      <c r="F486" s="34"/>
      <c r="G486" s="34"/>
    </row>
    <row r="487" spans="1:7" x14ac:dyDescent="0.3">
      <c r="A487" s="34"/>
      <c r="B487" s="34"/>
      <c r="C487" s="34"/>
      <c r="D487" s="34"/>
      <c r="E487" s="34"/>
      <c r="F487" s="34"/>
      <c r="G487" s="34"/>
    </row>
    <row r="488" spans="1:7" x14ac:dyDescent="0.3">
      <c r="A488" s="34"/>
      <c r="B488" s="34"/>
      <c r="C488" s="34"/>
      <c r="D488" s="34"/>
      <c r="E488" s="34"/>
      <c r="F488" s="34"/>
      <c r="G488" s="34"/>
    </row>
    <row r="489" spans="1:7" x14ac:dyDescent="0.3">
      <c r="A489" s="34"/>
      <c r="B489" s="34"/>
      <c r="C489" s="34"/>
      <c r="D489" s="34"/>
      <c r="E489" s="34"/>
      <c r="F489" s="34"/>
      <c r="G489" s="34"/>
    </row>
    <row r="490" spans="1:7" x14ac:dyDescent="0.3">
      <c r="A490" s="34"/>
      <c r="B490" s="34"/>
      <c r="C490" s="34"/>
      <c r="D490" s="34"/>
      <c r="E490" s="34"/>
      <c r="F490" s="34"/>
      <c r="G490" s="34"/>
    </row>
    <row r="491" spans="1:7" x14ac:dyDescent="0.3">
      <c r="A491" s="34"/>
      <c r="B491" s="34"/>
      <c r="C491" s="34"/>
      <c r="D491" s="34"/>
      <c r="E491" s="34"/>
      <c r="F491" s="34"/>
      <c r="G491" s="34"/>
    </row>
    <row r="492" spans="1:7" x14ac:dyDescent="0.3">
      <c r="A492" s="34"/>
      <c r="B492" s="34"/>
      <c r="C492" s="34"/>
      <c r="D492" s="34"/>
      <c r="E492" s="34"/>
      <c r="F492" s="34"/>
      <c r="G492" s="34"/>
    </row>
    <row r="493" spans="1:7" x14ac:dyDescent="0.3">
      <c r="A493" s="34"/>
      <c r="B493" s="34"/>
      <c r="C493" s="34"/>
      <c r="D493" s="34"/>
      <c r="E493" s="34"/>
      <c r="F493" s="34"/>
      <c r="G493" s="34"/>
    </row>
    <row r="494" spans="1:7" x14ac:dyDescent="0.3">
      <c r="A494" s="34"/>
      <c r="B494" s="34"/>
      <c r="C494" s="34"/>
      <c r="D494" s="34"/>
      <c r="E494" s="34"/>
      <c r="F494" s="34"/>
      <c r="G494" s="34"/>
    </row>
    <row r="495" spans="1:7" x14ac:dyDescent="0.3">
      <c r="A495" s="34"/>
      <c r="B495" s="34"/>
      <c r="C495" s="34"/>
      <c r="D495" s="34"/>
      <c r="E495" s="34"/>
      <c r="F495" s="34"/>
      <c r="G495" s="34"/>
    </row>
    <row r="496" spans="1:7" x14ac:dyDescent="0.3">
      <c r="A496" s="34"/>
      <c r="B496" s="34"/>
      <c r="C496" s="34"/>
      <c r="D496" s="34"/>
      <c r="E496" s="34"/>
      <c r="F496" s="34"/>
      <c r="G496" s="34"/>
    </row>
    <row r="497" spans="1:7" x14ac:dyDescent="0.3">
      <c r="A497" s="34"/>
      <c r="B497" s="34"/>
      <c r="C497" s="34"/>
      <c r="D497" s="34"/>
      <c r="E497" s="34"/>
      <c r="F497" s="34"/>
      <c r="G497" s="34"/>
    </row>
    <row r="498" spans="1:7" x14ac:dyDescent="0.3">
      <c r="A498" s="34"/>
      <c r="B498" s="34"/>
      <c r="C498" s="34"/>
      <c r="D498" s="34"/>
      <c r="E498" s="34"/>
      <c r="F498" s="34"/>
      <c r="G498" s="34"/>
    </row>
    <row r="499" spans="1:7" x14ac:dyDescent="0.3">
      <c r="A499" s="34"/>
      <c r="B499" s="34"/>
      <c r="C499" s="34"/>
      <c r="D499" s="34"/>
      <c r="E499" s="34"/>
      <c r="F499" s="34"/>
      <c r="G499" s="34"/>
    </row>
    <row r="500" spans="1:7" x14ac:dyDescent="0.3">
      <c r="A500" s="34"/>
      <c r="B500" s="34"/>
      <c r="C500" s="34"/>
      <c r="D500" s="34"/>
      <c r="E500" s="34"/>
      <c r="F500" s="34"/>
      <c r="G500" s="34"/>
    </row>
    <row r="501" spans="1:7" x14ac:dyDescent="0.3">
      <c r="A501" s="34"/>
      <c r="B501" s="34"/>
      <c r="C501" s="34"/>
      <c r="D501" s="34"/>
      <c r="E501" s="34"/>
      <c r="F501" s="34"/>
      <c r="G501" s="34"/>
    </row>
    <row r="502" spans="1:7" x14ac:dyDescent="0.3">
      <c r="A502" s="34"/>
      <c r="B502" s="34"/>
      <c r="C502" s="34"/>
      <c r="D502" s="34"/>
      <c r="E502" s="34"/>
      <c r="F502" s="34"/>
      <c r="G502" s="34"/>
    </row>
    <row r="503" spans="1:7" x14ac:dyDescent="0.3">
      <c r="A503" s="34"/>
      <c r="B503" s="34"/>
      <c r="C503" s="34"/>
      <c r="D503" s="34"/>
      <c r="E503" s="34"/>
      <c r="F503" s="34"/>
      <c r="G503" s="34"/>
    </row>
    <row r="504" spans="1:7" x14ac:dyDescent="0.3">
      <c r="A504" s="34"/>
      <c r="B504" s="34"/>
      <c r="C504" s="34"/>
      <c r="D504" s="34"/>
      <c r="E504" s="34"/>
      <c r="F504" s="34"/>
      <c r="G504" s="34"/>
    </row>
    <row r="505" spans="1:7" x14ac:dyDescent="0.3">
      <c r="A505" s="34"/>
      <c r="B505" s="34"/>
      <c r="C505" s="34"/>
      <c r="D505" s="34"/>
      <c r="E505" s="34"/>
      <c r="F505" s="34"/>
      <c r="G505" s="34"/>
    </row>
    <row r="506" spans="1:7" x14ac:dyDescent="0.3">
      <c r="A506" s="34"/>
      <c r="B506" s="34"/>
      <c r="C506" s="34"/>
      <c r="D506" s="34"/>
      <c r="E506" s="34"/>
      <c r="F506" s="34"/>
      <c r="G506" s="34"/>
    </row>
    <row r="507" spans="1:7" x14ac:dyDescent="0.3">
      <c r="A507" s="34"/>
      <c r="B507" s="34"/>
      <c r="C507" s="34"/>
      <c r="D507" s="34"/>
      <c r="E507" s="34"/>
      <c r="F507" s="34"/>
      <c r="G507" s="34"/>
    </row>
    <row r="508" spans="1:7" x14ac:dyDescent="0.3">
      <c r="A508" s="34"/>
      <c r="B508" s="34"/>
      <c r="C508" s="34"/>
      <c r="D508" s="34"/>
      <c r="E508" s="34"/>
      <c r="F508" s="34"/>
      <c r="G508" s="34"/>
    </row>
    <row r="509" spans="1:7" x14ac:dyDescent="0.3">
      <c r="A509" s="34"/>
      <c r="B509" s="34"/>
      <c r="C509" s="34"/>
      <c r="D509" s="34"/>
      <c r="E509" s="34"/>
      <c r="F509" s="34"/>
      <c r="G509" s="34"/>
    </row>
    <row r="510" spans="1:7" x14ac:dyDescent="0.3">
      <c r="A510" s="34"/>
      <c r="B510" s="34"/>
      <c r="C510" s="34"/>
      <c r="D510" s="34"/>
      <c r="E510" s="34"/>
      <c r="F510" s="34"/>
      <c r="G510" s="34"/>
    </row>
    <row r="511" spans="1:7" x14ac:dyDescent="0.3">
      <c r="A511" s="34"/>
      <c r="B511" s="34"/>
      <c r="C511" s="34"/>
      <c r="D511" s="34"/>
      <c r="E511" s="34"/>
      <c r="F511" s="34"/>
      <c r="G511" s="34"/>
    </row>
    <row r="512" spans="1:7" x14ac:dyDescent="0.3">
      <c r="A512" s="34"/>
      <c r="B512" s="34"/>
      <c r="C512" s="34"/>
      <c r="D512" s="34"/>
      <c r="E512" s="34"/>
      <c r="F512" s="34"/>
      <c r="G512" s="34"/>
    </row>
    <row r="513" spans="1:7" x14ac:dyDescent="0.3">
      <c r="A513" s="34"/>
      <c r="B513" s="34"/>
      <c r="C513" s="34"/>
      <c r="D513" s="34"/>
      <c r="E513" s="34"/>
      <c r="F513" s="34"/>
      <c r="G513" s="34"/>
    </row>
    <row r="514" spans="1:7" x14ac:dyDescent="0.3">
      <c r="A514" s="34"/>
      <c r="B514" s="34"/>
      <c r="C514" s="34"/>
      <c r="D514" s="34"/>
      <c r="E514" s="34"/>
      <c r="F514" s="34"/>
      <c r="G514" s="34"/>
    </row>
    <row r="515" spans="1:7" x14ac:dyDescent="0.3">
      <c r="A515" s="34"/>
      <c r="B515" s="34"/>
      <c r="C515" s="34"/>
      <c r="D515" s="34"/>
      <c r="E515" s="34"/>
      <c r="F515" s="34"/>
      <c r="G515" s="34"/>
    </row>
    <row r="516" spans="1:7" x14ac:dyDescent="0.3">
      <c r="A516" s="34"/>
      <c r="B516" s="34"/>
      <c r="C516" s="34"/>
      <c r="D516" s="34"/>
      <c r="E516" s="34"/>
      <c r="F516" s="34"/>
      <c r="G516" s="34"/>
    </row>
    <row r="517" spans="1:7" x14ac:dyDescent="0.3">
      <c r="A517" s="34"/>
      <c r="B517" s="34"/>
      <c r="C517" s="34"/>
      <c r="D517" s="34"/>
      <c r="E517" s="34"/>
      <c r="F517" s="34"/>
      <c r="G517" s="34"/>
    </row>
    <row r="518" spans="1:7" x14ac:dyDescent="0.3">
      <c r="A518" s="34"/>
      <c r="B518" s="34"/>
      <c r="C518" s="34"/>
      <c r="D518" s="34"/>
      <c r="E518" s="34"/>
      <c r="F518" s="34"/>
      <c r="G518" s="34"/>
    </row>
    <row r="519" spans="1:7" x14ac:dyDescent="0.3">
      <c r="A519" s="34"/>
      <c r="B519" s="34"/>
      <c r="C519" s="34"/>
      <c r="D519" s="34"/>
      <c r="E519" s="34"/>
      <c r="F519" s="34"/>
      <c r="G519" s="34"/>
    </row>
    <row r="520" spans="1:7" x14ac:dyDescent="0.3">
      <c r="A520" s="34"/>
      <c r="B520" s="34"/>
      <c r="C520" s="34"/>
      <c r="D520" s="34"/>
      <c r="E520" s="34"/>
      <c r="F520" s="34"/>
      <c r="G520" s="34"/>
    </row>
    <row r="521" spans="1:7" x14ac:dyDescent="0.3">
      <c r="A521" s="34"/>
      <c r="B521" s="34"/>
      <c r="C521" s="34"/>
      <c r="D521" s="34"/>
      <c r="E521" s="34"/>
      <c r="F521" s="34"/>
      <c r="G521" s="34"/>
    </row>
    <row r="522" spans="1:7" x14ac:dyDescent="0.3">
      <c r="A522" s="34"/>
      <c r="B522" s="34"/>
      <c r="C522" s="34"/>
      <c r="D522" s="34"/>
      <c r="E522" s="34"/>
      <c r="F522" s="34"/>
      <c r="G522" s="34"/>
    </row>
    <row r="523" spans="1:7" x14ac:dyDescent="0.3">
      <c r="A523" s="34"/>
      <c r="B523" s="34"/>
      <c r="C523" s="34"/>
      <c r="D523" s="34"/>
      <c r="E523" s="34"/>
      <c r="F523" s="34"/>
      <c r="G523" s="34"/>
    </row>
    <row r="524" spans="1:7" x14ac:dyDescent="0.3">
      <c r="A524" s="34"/>
      <c r="B524" s="34"/>
      <c r="C524" s="34"/>
      <c r="D524" s="34"/>
      <c r="E524" s="34"/>
      <c r="F524" s="34"/>
      <c r="G524" s="34"/>
    </row>
    <row r="525" spans="1:7" x14ac:dyDescent="0.3">
      <c r="A525" s="34"/>
      <c r="B525" s="34"/>
      <c r="C525" s="34"/>
      <c r="D525" s="34"/>
      <c r="E525" s="34"/>
      <c r="F525" s="34"/>
      <c r="G525" s="34"/>
    </row>
    <row r="526" spans="1:7" x14ac:dyDescent="0.3">
      <c r="A526" s="34"/>
      <c r="B526" s="34"/>
      <c r="C526" s="34"/>
      <c r="D526" s="34"/>
      <c r="E526" s="34"/>
      <c r="F526" s="34"/>
      <c r="G526" s="34"/>
    </row>
    <row r="527" spans="1:7" x14ac:dyDescent="0.3">
      <c r="A527" s="34"/>
      <c r="B527" s="34"/>
      <c r="C527" s="34"/>
      <c r="D527" s="34"/>
      <c r="E527" s="34"/>
      <c r="F527" s="34"/>
      <c r="G527" s="34"/>
    </row>
    <row r="528" spans="1:7" x14ac:dyDescent="0.3">
      <c r="A528" s="34"/>
      <c r="B528" s="34"/>
      <c r="C528" s="34"/>
      <c r="D528" s="34"/>
      <c r="E528" s="34"/>
      <c r="F528" s="34"/>
      <c r="G528" s="34"/>
    </row>
    <row r="529" spans="1:7" x14ac:dyDescent="0.3">
      <c r="A529" s="34"/>
      <c r="B529" s="34"/>
      <c r="C529" s="34"/>
      <c r="D529" s="34"/>
      <c r="E529" s="34"/>
      <c r="F529" s="34"/>
      <c r="G529" s="34"/>
    </row>
    <row r="530" spans="1:7" x14ac:dyDescent="0.3">
      <c r="A530" s="34"/>
      <c r="B530" s="34"/>
      <c r="C530" s="34"/>
      <c r="D530" s="34"/>
      <c r="E530" s="34"/>
      <c r="F530" s="34"/>
      <c r="G530" s="34"/>
    </row>
    <row r="531" spans="1:7" x14ac:dyDescent="0.3">
      <c r="A531" s="34"/>
      <c r="B531" s="34"/>
      <c r="C531" s="34"/>
      <c r="D531" s="34"/>
      <c r="E531" s="34"/>
      <c r="F531" s="34"/>
      <c r="G531" s="34"/>
    </row>
    <row r="532" spans="1:7" x14ac:dyDescent="0.3">
      <c r="A532" s="34"/>
      <c r="B532" s="34"/>
      <c r="C532" s="34"/>
      <c r="D532" s="34"/>
      <c r="E532" s="34"/>
      <c r="F532" s="34"/>
      <c r="G532" s="34"/>
    </row>
    <row r="533" spans="1:7" x14ac:dyDescent="0.3">
      <c r="A533" s="34"/>
      <c r="B533" s="34"/>
      <c r="C533" s="34"/>
      <c r="D533" s="34"/>
      <c r="E533" s="34"/>
      <c r="F533" s="34"/>
      <c r="G533" s="34"/>
    </row>
    <row r="534" spans="1:7" x14ac:dyDescent="0.3">
      <c r="A534" s="34"/>
      <c r="B534" s="34"/>
      <c r="C534" s="34"/>
      <c r="D534" s="34"/>
      <c r="E534" s="34"/>
      <c r="F534" s="34"/>
      <c r="G534" s="34"/>
    </row>
    <row r="535" spans="1:7" x14ac:dyDescent="0.3">
      <c r="A535" s="34"/>
      <c r="B535" s="34"/>
      <c r="C535" s="34"/>
      <c r="D535" s="34"/>
      <c r="E535" s="34"/>
      <c r="F535" s="34"/>
      <c r="G535" s="34"/>
    </row>
    <row r="536" spans="1:7" x14ac:dyDescent="0.3">
      <c r="A536" s="34"/>
      <c r="B536" s="34"/>
      <c r="C536" s="34"/>
      <c r="D536" s="34"/>
      <c r="E536" s="34"/>
      <c r="F536" s="34"/>
      <c r="G536" s="34"/>
    </row>
    <row r="537" spans="1:7" x14ac:dyDescent="0.3">
      <c r="A537" s="34"/>
      <c r="B537" s="34"/>
      <c r="C537" s="34"/>
      <c r="D537" s="34"/>
      <c r="E537" s="34"/>
      <c r="F537" s="34"/>
      <c r="G537" s="34"/>
    </row>
    <row r="538" spans="1:7" x14ac:dyDescent="0.3">
      <c r="A538" s="34"/>
      <c r="B538" s="34"/>
      <c r="C538" s="34"/>
      <c r="D538" s="34"/>
      <c r="E538" s="34"/>
      <c r="F538" s="34"/>
      <c r="G538" s="34"/>
    </row>
    <row r="539" spans="1:7" x14ac:dyDescent="0.3">
      <c r="A539" s="34"/>
      <c r="B539" s="34"/>
      <c r="C539" s="34"/>
      <c r="D539" s="34"/>
      <c r="E539" s="34"/>
      <c r="F539" s="34"/>
      <c r="G539" s="34"/>
    </row>
    <row r="540" spans="1:7" x14ac:dyDescent="0.3">
      <c r="A540" s="34"/>
      <c r="B540" s="34"/>
      <c r="C540" s="34"/>
      <c r="D540" s="34"/>
      <c r="E540" s="34"/>
      <c r="F540" s="34"/>
      <c r="G540" s="34"/>
    </row>
    <row r="541" spans="1:7" x14ac:dyDescent="0.3">
      <c r="A541" s="34"/>
      <c r="B541" s="34"/>
      <c r="C541" s="34"/>
      <c r="D541" s="34"/>
      <c r="E541" s="34"/>
      <c r="F541" s="34"/>
      <c r="G541" s="34"/>
    </row>
    <row r="542" spans="1:7" x14ac:dyDescent="0.3">
      <c r="A542" s="34"/>
      <c r="B542" s="34"/>
      <c r="C542" s="34"/>
      <c r="D542" s="34"/>
      <c r="E542" s="34"/>
      <c r="F542" s="34"/>
      <c r="G542" s="34"/>
    </row>
    <row r="543" spans="1:7" x14ac:dyDescent="0.3">
      <c r="A543" s="34"/>
      <c r="B543" s="34"/>
      <c r="C543" s="34"/>
      <c r="D543" s="34"/>
      <c r="E543" s="34"/>
      <c r="F543" s="34"/>
      <c r="G543" s="34"/>
    </row>
    <row r="544" spans="1:7" x14ac:dyDescent="0.3">
      <c r="A544" s="34"/>
      <c r="B544" s="34"/>
      <c r="C544" s="34"/>
      <c r="D544" s="34"/>
      <c r="E544" s="34"/>
      <c r="F544" s="34"/>
      <c r="G544" s="34"/>
    </row>
    <row r="545" spans="1:7" x14ac:dyDescent="0.3">
      <c r="A545" s="34"/>
      <c r="B545" s="34"/>
      <c r="C545" s="34"/>
      <c r="D545" s="34"/>
      <c r="E545" s="34"/>
      <c r="F545" s="34"/>
      <c r="G545" s="34"/>
    </row>
    <row r="546" spans="1:7" x14ac:dyDescent="0.3">
      <c r="A546" s="34"/>
      <c r="B546" s="34"/>
      <c r="C546" s="34"/>
      <c r="D546" s="34"/>
      <c r="E546" s="34"/>
      <c r="F546" s="34"/>
      <c r="G546" s="34"/>
    </row>
    <row r="547" spans="1:7" x14ac:dyDescent="0.3">
      <c r="A547" s="34"/>
      <c r="B547" s="34"/>
      <c r="C547" s="34"/>
      <c r="D547" s="34"/>
      <c r="E547" s="34"/>
      <c r="F547" s="34"/>
      <c r="G547" s="34"/>
    </row>
    <row r="548" spans="1:7" x14ac:dyDescent="0.3">
      <c r="A548" s="34"/>
      <c r="B548" s="34"/>
      <c r="C548" s="34"/>
      <c r="D548" s="34"/>
      <c r="E548" s="34"/>
      <c r="F548" s="34"/>
      <c r="G548" s="34"/>
    </row>
    <row r="549" spans="1:7" x14ac:dyDescent="0.3">
      <c r="A549" s="34"/>
      <c r="B549" s="34"/>
      <c r="C549" s="34"/>
      <c r="D549" s="34"/>
      <c r="E549" s="34"/>
      <c r="F549" s="34"/>
      <c r="G549" s="34"/>
    </row>
    <row r="550" spans="1:7" x14ac:dyDescent="0.3">
      <c r="A550" s="34"/>
      <c r="B550" s="34"/>
      <c r="C550" s="34"/>
      <c r="D550" s="34"/>
      <c r="E550" s="34"/>
      <c r="F550" s="34"/>
      <c r="G550" s="34"/>
    </row>
    <row r="551" spans="1:7" x14ac:dyDescent="0.3">
      <c r="A551" s="34"/>
      <c r="B551" s="34"/>
      <c r="C551" s="34"/>
      <c r="D551" s="34"/>
      <c r="E551" s="34"/>
      <c r="F551" s="34"/>
      <c r="G551" s="34"/>
    </row>
    <row r="552" spans="1:7" x14ac:dyDescent="0.3">
      <c r="A552" s="34"/>
      <c r="B552" s="34"/>
      <c r="C552" s="34"/>
      <c r="D552" s="34"/>
      <c r="E552" s="34"/>
      <c r="F552" s="34"/>
      <c r="G552" s="34"/>
    </row>
    <row r="553" spans="1:7" x14ac:dyDescent="0.3">
      <c r="A553" s="34"/>
      <c r="B553" s="34"/>
      <c r="C553" s="34"/>
      <c r="D553" s="34"/>
      <c r="E553" s="34"/>
      <c r="F553" s="34"/>
      <c r="G553" s="34"/>
    </row>
    <row r="554" spans="1:7" x14ac:dyDescent="0.3">
      <c r="A554" s="34"/>
      <c r="B554" s="34"/>
      <c r="C554" s="34"/>
      <c r="D554" s="34"/>
      <c r="E554" s="34"/>
      <c r="F554" s="34"/>
      <c r="G554" s="34"/>
    </row>
    <row r="555" spans="1:7" x14ac:dyDescent="0.3">
      <c r="A555" s="34"/>
      <c r="B555" s="34"/>
      <c r="C555" s="34"/>
      <c r="D555" s="34"/>
      <c r="E555" s="34"/>
      <c r="F555" s="34"/>
      <c r="G555" s="34"/>
    </row>
    <row r="556" spans="1:7" x14ac:dyDescent="0.3">
      <c r="A556" s="34"/>
      <c r="B556" s="34"/>
      <c r="C556" s="34"/>
      <c r="D556" s="34"/>
      <c r="E556" s="34"/>
      <c r="F556" s="34"/>
      <c r="G556" s="34"/>
    </row>
    <row r="557" spans="1:7" x14ac:dyDescent="0.3">
      <c r="A557" s="34"/>
      <c r="B557" s="34"/>
      <c r="C557" s="34"/>
      <c r="D557" s="34"/>
      <c r="E557" s="34"/>
      <c r="F557" s="34"/>
      <c r="G557" s="34"/>
    </row>
    <row r="558" spans="1:7" x14ac:dyDescent="0.3">
      <c r="A558" s="34"/>
      <c r="B558" s="34"/>
      <c r="C558" s="34"/>
      <c r="D558" s="34"/>
      <c r="E558" s="34"/>
      <c r="F558" s="34"/>
      <c r="G558" s="34"/>
    </row>
    <row r="559" spans="1:7" x14ac:dyDescent="0.3">
      <c r="A559" s="34"/>
      <c r="B559" s="34"/>
      <c r="C559" s="34"/>
      <c r="D559" s="34"/>
      <c r="E559" s="34"/>
      <c r="F559" s="34"/>
      <c r="G559" s="34"/>
    </row>
    <row r="560" spans="1:7" x14ac:dyDescent="0.3">
      <c r="A560" s="34"/>
      <c r="B560" s="34"/>
      <c r="C560" s="34"/>
      <c r="D560" s="34"/>
      <c r="E560" s="34"/>
      <c r="F560" s="34"/>
      <c r="G560" s="34"/>
    </row>
    <row r="561" spans="1:7" x14ac:dyDescent="0.3">
      <c r="A561" s="34"/>
      <c r="B561" s="34"/>
      <c r="C561" s="34"/>
      <c r="D561" s="34"/>
      <c r="E561" s="34"/>
      <c r="F561" s="34"/>
      <c r="G561" s="34"/>
    </row>
    <row r="562" spans="1:7" x14ac:dyDescent="0.3">
      <c r="A562" s="34"/>
      <c r="B562" s="34"/>
      <c r="C562" s="34"/>
      <c r="D562" s="34"/>
      <c r="E562" s="34"/>
      <c r="F562" s="34"/>
      <c r="G562" s="34"/>
    </row>
    <row r="563" spans="1:7" x14ac:dyDescent="0.3">
      <c r="A563" s="34"/>
      <c r="B563" s="34"/>
      <c r="C563" s="34"/>
      <c r="D563" s="34"/>
      <c r="E563" s="34"/>
      <c r="F563" s="34"/>
      <c r="G563" s="34"/>
    </row>
    <row r="564" spans="1:7" x14ac:dyDescent="0.3">
      <c r="A564" s="34"/>
      <c r="B564" s="34"/>
      <c r="C564" s="34"/>
      <c r="D564" s="34"/>
      <c r="E564" s="34"/>
      <c r="F564" s="34"/>
      <c r="G564" s="34"/>
    </row>
    <row r="565" spans="1:7" x14ac:dyDescent="0.3">
      <c r="A565" s="34"/>
      <c r="B565" s="34"/>
      <c r="C565" s="34"/>
      <c r="D565" s="34"/>
      <c r="E565" s="34"/>
      <c r="F565" s="34"/>
      <c r="G565" s="34"/>
    </row>
    <row r="566" spans="1:7" x14ac:dyDescent="0.3">
      <c r="A566" s="34"/>
      <c r="B566" s="34"/>
      <c r="C566" s="34"/>
      <c r="D566" s="34"/>
      <c r="E566" s="34"/>
      <c r="F566" s="34"/>
      <c r="G566" s="34"/>
    </row>
    <row r="567" spans="1:7" x14ac:dyDescent="0.3">
      <c r="A567" s="34"/>
      <c r="B567" s="34"/>
      <c r="C567" s="34"/>
      <c r="D567" s="34"/>
      <c r="E567" s="34"/>
      <c r="F567" s="34"/>
      <c r="G567" s="34"/>
    </row>
    <row r="568" spans="1:7" x14ac:dyDescent="0.3">
      <c r="A568" s="34"/>
      <c r="B568" s="34"/>
      <c r="C568" s="34"/>
      <c r="D568" s="34"/>
      <c r="E568" s="34"/>
      <c r="F568" s="34"/>
      <c r="G568" s="34"/>
    </row>
    <row r="569" spans="1:7" x14ac:dyDescent="0.3">
      <c r="A569" s="34"/>
      <c r="B569" s="34"/>
      <c r="C569" s="34"/>
      <c r="D569" s="34"/>
      <c r="E569" s="34"/>
      <c r="F569" s="34"/>
      <c r="G569" s="34"/>
    </row>
    <row r="570" spans="1:7" x14ac:dyDescent="0.3">
      <c r="A570" s="34"/>
      <c r="B570" s="34"/>
      <c r="C570" s="34"/>
      <c r="D570" s="34"/>
      <c r="E570" s="34"/>
      <c r="F570" s="34"/>
      <c r="G570" s="34"/>
    </row>
    <row r="571" spans="1:7" x14ac:dyDescent="0.3">
      <c r="A571" s="34"/>
      <c r="B571" s="34"/>
      <c r="C571" s="34"/>
      <c r="D571" s="34"/>
      <c r="E571" s="34"/>
      <c r="F571" s="34"/>
      <c r="G571" s="34"/>
    </row>
    <row r="572" spans="1:7" x14ac:dyDescent="0.3">
      <c r="A572" s="34"/>
      <c r="B572" s="34"/>
      <c r="C572" s="34"/>
      <c r="D572" s="34"/>
      <c r="E572" s="34"/>
      <c r="F572" s="34"/>
      <c r="G572" s="34"/>
    </row>
    <row r="573" spans="1:7" x14ac:dyDescent="0.3">
      <c r="A573" s="34"/>
      <c r="B573" s="34"/>
      <c r="C573" s="34"/>
      <c r="D573" s="34"/>
      <c r="E573" s="34"/>
      <c r="F573" s="34"/>
      <c r="G573" s="34"/>
    </row>
    <row r="574" spans="1:7" x14ac:dyDescent="0.3">
      <c r="A574" s="34"/>
      <c r="B574" s="34"/>
      <c r="C574" s="34"/>
      <c r="D574" s="34"/>
      <c r="E574" s="34"/>
      <c r="F574" s="34"/>
      <c r="G574" s="34"/>
    </row>
    <row r="575" spans="1:7" x14ac:dyDescent="0.3">
      <c r="A575" s="34"/>
      <c r="B575" s="34"/>
      <c r="C575" s="34"/>
      <c r="D575" s="34"/>
      <c r="E575" s="34"/>
      <c r="F575" s="34"/>
      <c r="G575" s="34"/>
    </row>
    <row r="576" spans="1:7" x14ac:dyDescent="0.3">
      <c r="A576" s="34"/>
      <c r="B576" s="34"/>
      <c r="C576" s="34"/>
      <c r="D576" s="34"/>
      <c r="E576" s="34"/>
      <c r="F576" s="34"/>
      <c r="G576" s="34"/>
    </row>
    <row r="577" spans="1:7" x14ac:dyDescent="0.3">
      <c r="A577" s="34"/>
      <c r="B577" s="34"/>
      <c r="C577" s="34"/>
      <c r="D577" s="34"/>
      <c r="E577" s="34"/>
      <c r="F577" s="34"/>
      <c r="G577" s="34"/>
    </row>
    <row r="578" spans="1:7" x14ac:dyDescent="0.3">
      <c r="A578" s="34"/>
      <c r="B578" s="34"/>
      <c r="C578" s="34"/>
      <c r="D578" s="34"/>
      <c r="E578" s="34"/>
      <c r="F578" s="34"/>
      <c r="G578" s="34"/>
    </row>
    <row r="579" spans="1:7" x14ac:dyDescent="0.3">
      <c r="A579" s="34"/>
      <c r="B579" s="34"/>
      <c r="C579" s="34"/>
      <c r="D579" s="34"/>
      <c r="E579" s="34"/>
      <c r="F579" s="34"/>
      <c r="G579" s="34"/>
    </row>
    <row r="580" spans="1:7" x14ac:dyDescent="0.3">
      <c r="A580" s="34"/>
      <c r="B580" s="34"/>
      <c r="C580" s="34"/>
      <c r="D580" s="34"/>
      <c r="E580" s="34"/>
      <c r="F580" s="34"/>
      <c r="G580" s="34"/>
    </row>
    <row r="581" spans="1:7" x14ac:dyDescent="0.3">
      <c r="A581" s="34"/>
      <c r="B581" s="34"/>
      <c r="C581" s="34"/>
      <c r="D581" s="34"/>
      <c r="E581" s="34"/>
      <c r="F581" s="34"/>
      <c r="G581" s="34"/>
    </row>
    <row r="582" spans="1:7" x14ac:dyDescent="0.3">
      <c r="A582" s="34"/>
      <c r="B582" s="34"/>
      <c r="C582" s="34"/>
      <c r="D582" s="34"/>
      <c r="E582" s="34"/>
      <c r="F582" s="34"/>
      <c r="G582" s="34"/>
    </row>
    <row r="583" spans="1:7" x14ac:dyDescent="0.3">
      <c r="A583" s="34"/>
      <c r="B583" s="34"/>
      <c r="C583" s="34"/>
      <c r="D583" s="34"/>
      <c r="E583" s="34"/>
      <c r="F583" s="34"/>
      <c r="G583" s="34"/>
    </row>
    <row r="584" spans="1:7" x14ac:dyDescent="0.3">
      <c r="A584" s="34"/>
      <c r="B584" s="34"/>
      <c r="C584" s="34"/>
      <c r="D584" s="34"/>
      <c r="E584" s="34"/>
      <c r="F584" s="34"/>
      <c r="G584" s="34"/>
    </row>
    <row r="585" spans="1:7" x14ac:dyDescent="0.3">
      <c r="A585" s="34"/>
      <c r="B585" s="34"/>
      <c r="C585" s="34"/>
      <c r="D585" s="34"/>
      <c r="E585" s="34"/>
      <c r="F585" s="34"/>
      <c r="G585" s="34"/>
    </row>
    <row r="586" spans="1:7" x14ac:dyDescent="0.3">
      <c r="A586" s="34"/>
      <c r="B586" s="34"/>
      <c r="C586" s="34"/>
      <c r="D586" s="34"/>
      <c r="E586" s="34"/>
      <c r="F586" s="34"/>
      <c r="G586" s="34"/>
    </row>
    <row r="587" spans="1:7" x14ac:dyDescent="0.3">
      <c r="A587" s="34"/>
      <c r="B587" s="34"/>
      <c r="C587" s="34"/>
      <c r="D587" s="34"/>
      <c r="E587" s="34"/>
      <c r="F587" s="34"/>
      <c r="G587" s="34"/>
    </row>
    <row r="588" spans="1:7" x14ac:dyDescent="0.3">
      <c r="A588" s="34"/>
      <c r="B588" s="34"/>
      <c r="C588" s="34"/>
      <c r="D588" s="34"/>
      <c r="E588" s="34"/>
      <c r="F588" s="34"/>
      <c r="G588" s="34"/>
    </row>
    <row r="589" spans="1:7" x14ac:dyDescent="0.3">
      <c r="A589" s="34"/>
      <c r="B589" s="34"/>
      <c r="C589" s="34"/>
      <c r="D589" s="34"/>
      <c r="E589" s="34"/>
      <c r="F589" s="34"/>
      <c r="G589" s="34"/>
    </row>
    <row r="590" spans="1:7" x14ac:dyDescent="0.3">
      <c r="A590" s="34"/>
      <c r="B590" s="34"/>
      <c r="C590" s="34"/>
      <c r="D590" s="34"/>
      <c r="E590" s="34"/>
      <c r="F590" s="34"/>
      <c r="G590" s="34"/>
    </row>
    <row r="591" spans="1:7" x14ac:dyDescent="0.3">
      <c r="A591" s="34"/>
      <c r="B591" s="34"/>
      <c r="C591" s="34"/>
      <c r="D591" s="34"/>
      <c r="E591" s="34"/>
      <c r="F591" s="34"/>
      <c r="G591" s="34"/>
    </row>
    <row r="592" spans="1:7" x14ac:dyDescent="0.3">
      <c r="A592" s="34"/>
      <c r="B592" s="34"/>
      <c r="C592" s="34"/>
      <c r="D592" s="34"/>
      <c r="E592" s="34"/>
      <c r="F592" s="34"/>
      <c r="G592" s="34"/>
    </row>
    <row r="593" spans="1:7" x14ac:dyDescent="0.3">
      <c r="A593" s="34"/>
      <c r="B593" s="34"/>
      <c r="C593" s="34"/>
      <c r="D593" s="34"/>
      <c r="E593" s="34"/>
      <c r="F593" s="34"/>
      <c r="G593" s="34"/>
    </row>
    <row r="594" spans="1:7" x14ac:dyDescent="0.3">
      <c r="A594" s="34"/>
      <c r="B594" s="34"/>
      <c r="C594" s="34"/>
      <c r="D594" s="34"/>
      <c r="E594" s="34"/>
      <c r="F594" s="34"/>
      <c r="G594" s="34"/>
    </row>
    <row r="595" spans="1:7" x14ac:dyDescent="0.3">
      <c r="A595" s="34"/>
      <c r="B595" s="34"/>
      <c r="C595" s="34"/>
      <c r="D595" s="34"/>
      <c r="E595" s="34"/>
      <c r="F595" s="34"/>
      <c r="G595" s="34"/>
    </row>
    <row r="596" spans="1:7" x14ac:dyDescent="0.3">
      <c r="A596" s="34"/>
      <c r="B596" s="34"/>
      <c r="C596" s="34"/>
      <c r="D596" s="34"/>
      <c r="E596" s="34"/>
      <c r="F596" s="34"/>
      <c r="G596" s="34"/>
    </row>
    <row r="597" spans="1:7" x14ac:dyDescent="0.3">
      <c r="A597" s="34"/>
      <c r="B597" s="34"/>
      <c r="C597" s="34"/>
      <c r="D597" s="34"/>
      <c r="E597" s="34"/>
      <c r="F597" s="34"/>
      <c r="G597" s="34"/>
    </row>
    <row r="598" spans="1:7" x14ac:dyDescent="0.3">
      <c r="A598" s="34"/>
      <c r="B598" s="34"/>
      <c r="C598" s="34"/>
      <c r="D598" s="34"/>
      <c r="E598" s="34"/>
      <c r="F598" s="34"/>
      <c r="G598" s="34"/>
    </row>
    <row r="599" spans="1:7" x14ac:dyDescent="0.3">
      <c r="A599" s="34"/>
      <c r="B599" s="34"/>
      <c r="C599" s="34"/>
      <c r="D599" s="34"/>
      <c r="E599" s="34"/>
      <c r="F599" s="34"/>
      <c r="G599" s="34"/>
    </row>
    <row r="600" spans="1:7" x14ac:dyDescent="0.3">
      <c r="A600" s="34"/>
      <c r="B600" s="34"/>
      <c r="C600" s="34"/>
      <c r="D600" s="34"/>
      <c r="E600" s="34"/>
      <c r="F600" s="34"/>
      <c r="G600" s="34"/>
    </row>
    <row r="601" spans="1:7" x14ac:dyDescent="0.3">
      <c r="A601" s="34"/>
      <c r="B601" s="34"/>
      <c r="C601" s="34"/>
      <c r="D601" s="34"/>
      <c r="E601" s="34"/>
      <c r="F601" s="34"/>
      <c r="G601" s="34"/>
    </row>
    <row r="602" spans="1:7" x14ac:dyDescent="0.3">
      <c r="A602" s="34"/>
      <c r="B602" s="34"/>
      <c r="C602" s="34"/>
      <c r="D602" s="34"/>
      <c r="E602" s="34"/>
      <c r="F602" s="34"/>
      <c r="G602" s="34"/>
    </row>
    <row r="603" spans="1:7" x14ac:dyDescent="0.3">
      <c r="A603" s="34"/>
      <c r="B603" s="34"/>
      <c r="C603" s="34"/>
      <c r="D603" s="34"/>
      <c r="E603" s="34"/>
      <c r="F603" s="34"/>
      <c r="G603" s="34"/>
    </row>
    <row r="604" spans="1:7" x14ac:dyDescent="0.3">
      <c r="A604" s="34"/>
      <c r="B604" s="34"/>
      <c r="C604" s="34"/>
      <c r="D604" s="34"/>
      <c r="E604" s="34"/>
      <c r="F604" s="34"/>
      <c r="G604" s="34"/>
    </row>
    <row r="605" spans="1:7" x14ac:dyDescent="0.3">
      <c r="A605" s="34"/>
      <c r="B605" s="34"/>
      <c r="C605" s="34"/>
      <c r="D605" s="34"/>
      <c r="E605" s="34"/>
      <c r="F605" s="34"/>
      <c r="G605" s="34"/>
    </row>
    <row r="606" spans="1:7" x14ac:dyDescent="0.3">
      <c r="A606" s="34"/>
      <c r="B606" s="34"/>
      <c r="C606" s="34"/>
      <c r="D606" s="34"/>
      <c r="E606" s="34"/>
      <c r="F606" s="34"/>
      <c r="G606" s="34"/>
    </row>
    <row r="607" spans="1:7" x14ac:dyDescent="0.3">
      <c r="A607" s="34"/>
      <c r="B607" s="34"/>
      <c r="C607" s="34"/>
      <c r="D607" s="34"/>
      <c r="E607" s="34"/>
      <c r="F607" s="34"/>
      <c r="G607" s="34"/>
    </row>
    <row r="608" spans="1:7" x14ac:dyDescent="0.3">
      <c r="A608" s="34"/>
      <c r="B608" s="34"/>
      <c r="C608" s="34"/>
      <c r="D608" s="34"/>
      <c r="E608" s="34"/>
      <c r="F608" s="34"/>
      <c r="G608" s="34"/>
    </row>
    <row r="609" spans="1:7" x14ac:dyDescent="0.3">
      <c r="A609" s="34"/>
      <c r="B609" s="34"/>
      <c r="C609" s="34"/>
      <c r="D609" s="34"/>
      <c r="E609" s="34"/>
      <c r="F609" s="34"/>
      <c r="G609" s="34"/>
    </row>
    <row r="610" spans="1:7" x14ac:dyDescent="0.3">
      <c r="A610" s="34"/>
      <c r="B610" s="34"/>
      <c r="C610" s="34"/>
      <c r="D610" s="34"/>
      <c r="E610" s="34"/>
      <c r="F610" s="34"/>
      <c r="G610" s="34"/>
    </row>
    <row r="611" spans="1:7" x14ac:dyDescent="0.3">
      <c r="A611" s="34"/>
      <c r="B611" s="34"/>
      <c r="C611" s="34"/>
      <c r="D611" s="34"/>
      <c r="E611" s="34"/>
      <c r="F611" s="34"/>
      <c r="G611" s="34"/>
    </row>
    <row r="612" spans="1:7" x14ac:dyDescent="0.3">
      <c r="A612" s="34"/>
      <c r="B612" s="34"/>
      <c r="C612" s="34"/>
      <c r="D612" s="34"/>
      <c r="E612" s="34"/>
      <c r="F612" s="34"/>
      <c r="G612" s="34"/>
    </row>
    <row r="613" spans="1:7" x14ac:dyDescent="0.3">
      <c r="A613" s="34"/>
      <c r="B613" s="34"/>
      <c r="C613" s="34"/>
      <c r="D613" s="34"/>
      <c r="E613" s="34"/>
      <c r="F613" s="34"/>
      <c r="G613" s="34"/>
    </row>
    <row r="614" spans="1:7" x14ac:dyDescent="0.3">
      <c r="A614" s="34"/>
      <c r="B614" s="34"/>
      <c r="C614" s="34"/>
      <c r="D614" s="34"/>
      <c r="E614" s="34"/>
      <c r="F614" s="34"/>
      <c r="G614" s="34"/>
    </row>
    <row r="615" spans="1:7" x14ac:dyDescent="0.3">
      <c r="A615" s="34"/>
      <c r="B615" s="34"/>
      <c r="C615" s="34"/>
      <c r="D615" s="34"/>
      <c r="E615" s="34"/>
      <c r="F615" s="34"/>
      <c r="G615" s="34"/>
    </row>
    <row r="616" spans="1:7" x14ac:dyDescent="0.3">
      <c r="A616" s="34"/>
      <c r="B616" s="34"/>
      <c r="C616" s="34"/>
      <c r="D616" s="34"/>
      <c r="E616" s="34"/>
      <c r="F616" s="34"/>
      <c r="G616" s="34"/>
    </row>
    <row r="617" spans="1:7" x14ac:dyDescent="0.3">
      <c r="A617" s="34"/>
      <c r="B617" s="34"/>
      <c r="C617" s="34"/>
      <c r="D617" s="34"/>
      <c r="E617" s="34"/>
      <c r="F617" s="34"/>
      <c r="G617" s="34"/>
    </row>
    <row r="618" spans="1:7" x14ac:dyDescent="0.3">
      <c r="A618" s="34"/>
      <c r="B618" s="34"/>
      <c r="C618" s="34"/>
      <c r="D618" s="34"/>
      <c r="E618" s="34"/>
      <c r="F618" s="34"/>
      <c r="G618" s="34"/>
    </row>
    <row r="619" spans="1:7" x14ac:dyDescent="0.3">
      <c r="A619" s="34"/>
      <c r="B619" s="34"/>
      <c r="C619" s="34"/>
      <c r="D619" s="34"/>
      <c r="E619" s="34"/>
      <c r="F619" s="34"/>
      <c r="G619" s="34"/>
    </row>
    <row r="620" spans="1:7" x14ac:dyDescent="0.3">
      <c r="A620" s="34"/>
      <c r="B620" s="34"/>
      <c r="C620" s="34"/>
      <c r="D620" s="34"/>
      <c r="E620" s="34"/>
      <c r="F620" s="34"/>
      <c r="G620" s="34"/>
    </row>
    <row r="621" spans="1:7" x14ac:dyDescent="0.3">
      <c r="A621" s="34"/>
      <c r="B621" s="34"/>
      <c r="C621" s="34"/>
      <c r="D621" s="34"/>
      <c r="E621" s="34"/>
      <c r="F621" s="34"/>
      <c r="G621" s="34"/>
    </row>
    <row r="622" spans="1:7" x14ac:dyDescent="0.3">
      <c r="A622" s="34"/>
      <c r="B622" s="34"/>
      <c r="C622" s="34"/>
      <c r="D622" s="34"/>
      <c r="E622" s="34"/>
      <c r="F622" s="34"/>
      <c r="G622" s="34"/>
    </row>
    <row r="623" spans="1:7" x14ac:dyDescent="0.3">
      <c r="A623" s="34"/>
      <c r="B623" s="34"/>
      <c r="C623" s="34"/>
      <c r="D623" s="34"/>
      <c r="E623" s="34"/>
      <c r="F623" s="34"/>
      <c r="G623" s="34"/>
    </row>
    <row r="624" spans="1:7" x14ac:dyDescent="0.3">
      <c r="A624" s="34"/>
      <c r="B624" s="34"/>
      <c r="C624" s="34"/>
      <c r="D624" s="34"/>
      <c r="E624" s="34"/>
      <c r="F624" s="34"/>
      <c r="G624" s="34"/>
    </row>
    <row r="625" spans="1:7" x14ac:dyDescent="0.3">
      <c r="A625" s="34"/>
      <c r="B625" s="34"/>
      <c r="C625" s="34"/>
      <c r="D625" s="34"/>
      <c r="E625" s="34"/>
      <c r="F625" s="34"/>
      <c r="G625" s="34"/>
    </row>
    <row r="626" spans="1:7" x14ac:dyDescent="0.3">
      <c r="A626" s="34"/>
      <c r="B626" s="34"/>
      <c r="C626" s="34"/>
      <c r="D626" s="34"/>
      <c r="E626" s="34"/>
      <c r="F626" s="34"/>
      <c r="G626" s="34"/>
    </row>
    <row r="627" spans="1:7" x14ac:dyDescent="0.3">
      <c r="A627" s="34"/>
      <c r="B627" s="34"/>
      <c r="C627" s="34"/>
      <c r="D627" s="34"/>
      <c r="E627" s="34"/>
      <c r="F627" s="34"/>
      <c r="G627" s="34"/>
    </row>
    <row r="628" spans="1:7" x14ac:dyDescent="0.3">
      <c r="A628" s="34"/>
      <c r="B628" s="34"/>
      <c r="C628" s="34"/>
      <c r="D628" s="34"/>
      <c r="E628" s="34"/>
      <c r="F628" s="34"/>
      <c r="G628" s="34"/>
    </row>
    <row r="629" spans="1:7" x14ac:dyDescent="0.3">
      <c r="A629" s="34"/>
      <c r="B629" s="34"/>
      <c r="C629" s="34"/>
      <c r="D629" s="34"/>
      <c r="E629" s="34"/>
      <c r="F629" s="34"/>
      <c r="G629" s="34"/>
    </row>
    <row r="630" spans="1:7" x14ac:dyDescent="0.3">
      <c r="A630" s="34"/>
      <c r="B630" s="34"/>
      <c r="C630" s="34"/>
      <c r="D630" s="34"/>
      <c r="E630" s="34"/>
      <c r="F630" s="34"/>
      <c r="G630" s="34"/>
    </row>
    <row r="631" spans="1:7" x14ac:dyDescent="0.3">
      <c r="A631" s="34"/>
      <c r="B631" s="34"/>
      <c r="C631" s="34"/>
      <c r="D631" s="34"/>
      <c r="E631" s="34"/>
      <c r="F631" s="34"/>
      <c r="G631" s="34"/>
    </row>
    <row r="632" spans="1:7" x14ac:dyDescent="0.3">
      <c r="A632" s="34"/>
      <c r="B632" s="34"/>
      <c r="C632" s="34"/>
      <c r="D632" s="34"/>
      <c r="E632" s="34"/>
      <c r="F632" s="34"/>
      <c r="G632" s="34"/>
    </row>
    <row r="633" spans="1:7" x14ac:dyDescent="0.3">
      <c r="A633" s="34"/>
      <c r="B633" s="34"/>
      <c r="C633" s="34"/>
      <c r="D633" s="34"/>
      <c r="E633" s="34"/>
      <c r="F633" s="34"/>
      <c r="G633" s="34"/>
    </row>
    <row r="634" spans="1:7" x14ac:dyDescent="0.3">
      <c r="A634" s="34"/>
      <c r="B634" s="34"/>
      <c r="C634" s="34"/>
      <c r="D634" s="34"/>
      <c r="E634" s="34"/>
      <c r="F634" s="34"/>
      <c r="G634" s="34"/>
    </row>
    <row r="635" spans="1:7" x14ac:dyDescent="0.3">
      <c r="A635" s="34"/>
      <c r="B635" s="34"/>
      <c r="C635" s="34"/>
      <c r="D635" s="34"/>
      <c r="E635" s="34"/>
      <c r="F635" s="34"/>
      <c r="G635" s="34"/>
    </row>
    <row r="636" spans="1:7" x14ac:dyDescent="0.3">
      <c r="A636" s="34"/>
      <c r="B636" s="34"/>
      <c r="C636" s="34"/>
      <c r="D636" s="34"/>
      <c r="E636" s="34"/>
      <c r="F636" s="34"/>
      <c r="G636" s="34"/>
    </row>
    <row r="637" spans="1:7" x14ac:dyDescent="0.3">
      <c r="A637" s="34"/>
      <c r="B637" s="34"/>
      <c r="C637" s="34"/>
      <c r="D637" s="34"/>
      <c r="E637" s="34"/>
      <c r="F637" s="34"/>
      <c r="G637" s="34"/>
    </row>
    <row r="638" spans="1:7" x14ac:dyDescent="0.3">
      <c r="A638" s="34"/>
      <c r="B638" s="34"/>
      <c r="C638" s="34"/>
      <c r="D638" s="34"/>
      <c r="E638" s="34"/>
      <c r="F638" s="34"/>
      <c r="G638" s="34"/>
    </row>
    <row r="639" spans="1:7" x14ac:dyDescent="0.3">
      <c r="A639" s="34"/>
      <c r="B639" s="34"/>
      <c r="C639" s="34"/>
      <c r="D639" s="34"/>
      <c r="E639" s="34"/>
      <c r="F639" s="34"/>
      <c r="G639" s="34"/>
    </row>
    <row r="640" spans="1:7" x14ac:dyDescent="0.3">
      <c r="A640" s="34"/>
      <c r="B640" s="34"/>
      <c r="C640" s="34"/>
      <c r="D640" s="34"/>
      <c r="E640" s="34"/>
      <c r="F640" s="34"/>
      <c r="G640" s="34"/>
    </row>
    <row r="641" spans="1:7" x14ac:dyDescent="0.3">
      <c r="A641" s="34"/>
      <c r="B641" s="34"/>
      <c r="C641" s="34"/>
      <c r="D641" s="34"/>
      <c r="E641" s="34"/>
      <c r="F641" s="34"/>
      <c r="G641" s="34"/>
    </row>
    <row r="642" spans="1:7" x14ac:dyDescent="0.3">
      <c r="A642" s="34"/>
      <c r="B642" s="34"/>
      <c r="C642" s="34"/>
      <c r="D642" s="34"/>
      <c r="E642" s="34"/>
      <c r="F642" s="34"/>
      <c r="G642" s="34"/>
    </row>
    <row r="643" spans="1:7" x14ac:dyDescent="0.3">
      <c r="A643" s="34"/>
      <c r="B643" s="34"/>
      <c r="C643" s="34"/>
      <c r="D643" s="34"/>
      <c r="E643" s="34"/>
      <c r="F643" s="34"/>
      <c r="G643" s="34"/>
    </row>
    <row r="644" spans="1:7" x14ac:dyDescent="0.3">
      <c r="A644" s="34"/>
      <c r="B644" s="34"/>
      <c r="C644" s="34"/>
      <c r="D644" s="34"/>
      <c r="E644" s="34"/>
      <c r="F644" s="34"/>
      <c r="G644" s="34"/>
    </row>
    <row r="645" spans="1:7" x14ac:dyDescent="0.3">
      <c r="A645" s="34"/>
      <c r="B645" s="34"/>
      <c r="C645" s="34"/>
      <c r="D645" s="34"/>
      <c r="E645" s="34"/>
      <c r="F645" s="34"/>
      <c r="G645" s="34"/>
    </row>
    <row r="646" spans="1:7" x14ac:dyDescent="0.3">
      <c r="A646" s="34"/>
      <c r="B646" s="34"/>
      <c r="C646" s="34"/>
      <c r="D646" s="34"/>
      <c r="E646" s="34"/>
      <c r="F646" s="34"/>
      <c r="G646" s="34"/>
    </row>
    <row r="647" spans="1:7" x14ac:dyDescent="0.3">
      <c r="A647" s="34"/>
      <c r="B647" s="34"/>
      <c r="C647" s="34"/>
      <c r="D647" s="34"/>
      <c r="E647" s="34"/>
      <c r="F647" s="34"/>
      <c r="G647" s="34"/>
    </row>
    <row r="648" spans="1:7" x14ac:dyDescent="0.3">
      <c r="A648" s="34"/>
      <c r="B648" s="34"/>
      <c r="C648" s="34"/>
      <c r="D648" s="34"/>
      <c r="E648" s="34"/>
      <c r="F648" s="34"/>
      <c r="G648" s="34"/>
    </row>
    <row r="649" spans="1:7" x14ac:dyDescent="0.3">
      <c r="A649" s="34"/>
      <c r="B649" s="34"/>
      <c r="C649" s="34"/>
      <c r="D649" s="34"/>
      <c r="E649" s="34"/>
      <c r="F649" s="34"/>
      <c r="G649" s="34"/>
    </row>
    <row r="650" spans="1:7" x14ac:dyDescent="0.3">
      <c r="A650" s="34"/>
      <c r="B650" s="34"/>
      <c r="C650" s="34"/>
      <c r="D650" s="34"/>
      <c r="E650" s="34"/>
      <c r="F650" s="34"/>
      <c r="G650" s="34"/>
    </row>
    <row r="651" spans="1:7" x14ac:dyDescent="0.3">
      <c r="A651" s="34"/>
      <c r="B651" s="34"/>
      <c r="C651" s="34"/>
      <c r="D651" s="34"/>
      <c r="E651" s="34"/>
      <c r="F651" s="34"/>
      <c r="G651" s="34"/>
    </row>
    <row r="652" spans="1:7" x14ac:dyDescent="0.3">
      <c r="A652" s="34"/>
      <c r="B652" s="34"/>
      <c r="C652" s="34"/>
      <c r="D652" s="34"/>
      <c r="E652" s="34"/>
      <c r="F652" s="34"/>
      <c r="G652" s="34"/>
    </row>
    <row r="653" spans="1:7" x14ac:dyDescent="0.3">
      <c r="A653" s="34"/>
      <c r="B653" s="34"/>
      <c r="C653" s="34"/>
      <c r="D653" s="34"/>
      <c r="E653" s="34"/>
      <c r="F653" s="34"/>
      <c r="G653" s="34"/>
    </row>
    <row r="654" spans="1:7" x14ac:dyDescent="0.3">
      <c r="A654" s="34"/>
      <c r="B654" s="34"/>
      <c r="C654" s="34"/>
      <c r="D654" s="34"/>
      <c r="E654" s="34"/>
      <c r="F654" s="34"/>
      <c r="G654" s="34"/>
    </row>
    <row r="655" spans="1:7" x14ac:dyDescent="0.3">
      <c r="A655" s="34"/>
      <c r="B655" s="34"/>
      <c r="C655" s="34"/>
      <c r="D655" s="34"/>
      <c r="E655" s="34"/>
      <c r="F655" s="34"/>
      <c r="G655" s="34"/>
    </row>
    <row r="656" spans="1:7" x14ac:dyDescent="0.3">
      <c r="A656" s="34"/>
      <c r="B656" s="34"/>
      <c r="C656" s="34"/>
      <c r="D656" s="34"/>
      <c r="E656" s="34"/>
      <c r="F656" s="34"/>
      <c r="G656" s="34"/>
    </row>
    <row r="657" spans="1:7" x14ac:dyDescent="0.3">
      <c r="A657" s="34"/>
      <c r="B657" s="34"/>
      <c r="C657" s="34"/>
      <c r="D657" s="34"/>
      <c r="E657" s="34"/>
      <c r="F657" s="34"/>
      <c r="G657" s="34"/>
    </row>
    <row r="658" spans="1:7" x14ac:dyDescent="0.3">
      <c r="A658" s="34"/>
      <c r="B658" s="34"/>
      <c r="C658" s="34"/>
      <c r="D658" s="34"/>
      <c r="E658" s="34"/>
      <c r="F658" s="34"/>
      <c r="G658" s="34"/>
    </row>
    <row r="659" spans="1:7" x14ac:dyDescent="0.3">
      <c r="A659" s="34"/>
      <c r="B659" s="34"/>
      <c r="C659" s="34"/>
      <c r="D659" s="34"/>
      <c r="E659" s="34"/>
      <c r="F659" s="34"/>
      <c r="G659" s="34"/>
    </row>
    <row r="660" spans="1:7" x14ac:dyDescent="0.3">
      <c r="A660" s="34"/>
      <c r="B660" s="34"/>
      <c r="C660" s="34"/>
      <c r="D660" s="34"/>
      <c r="E660" s="34"/>
      <c r="F660" s="34"/>
      <c r="G660" s="34"/>
    </row>
    <row r="661" spans="1:7" x14ac:dyDescent="0.3">
      <c r="A661" s="34"/>
      <c r="B661" s="34"/>
      <c r="C661" s="34"/>
      <c r="D661" s="34"/>
      <c r="E661" s="34"/>
      <c r="F661" s="34"/>
      <c r="G661" s="34"/>
    </row>
    <row r="662" spans="1:7" x14ac:dyDescent="0.3">
      <c r="A662" s="34"/>
      <c r="B662" s="34"/>
      <c r="C662" s="34"/>
      <c r="D662" s="34"/>
      <c r="E662" s="34"/>
      <c r="F662" s="34"/>
      <c r="G662" s="34"/>
    </row>
    <row r="663" spans="1:7" x14ac:dyDescent="0.3">
      <c r="A663" s="34"/>
      <c r="B663" s="34"/>
      <c r="C663" s="34"/>
      <c r="D663" s="34"/>
      <c r="E663" s="34"/>
      <c r="F663" s="34"/>
      <c r="G663" s="34"/>
    </row>
    <row r="664" spans="1:7" x14ac:dyDescent="0.3">
      <c r="A664" s="34"/>
      <c r="B664" s="34"/>
      <c r="C664" s="34"/>
      <c r="D664" s="34"/>
      <c r="E664" s="34"/>
      <c r="F664" s="34"/>
      <c r="G664" s="34"/>
    </row>
    <row r="665" spans="1:7" x14ac:dyDescent="0.3">
      <c r="A665" s="34"/>
      <c r="B665" s="34"/>
      <c r="C665" s="34"/>
      <c r="D665" s="34"/>
      <c r="E665" s="34"/>
      <c r="F665" s="34"/>
      <c r="G665" s="34"/>
    </row>
    <row r="666" spans="1:7" x14ac:dyDescent="0.3">
      <c r="A666" s="34"/>
      <c r="B666" s="34"/>
      <c r="C666" s="34"/>
      <c r="D666" s="34"/>
      <c r="E666" s="34"/>
      <c r="F666" s="34"/>
      <c r="G666" s="34"/>
    </row>
    <row r="667" spans="1:7" x14ac:dyDescent="0.3">
      <c r="A667" s="34"/>
      <c r="B667" s="34"/>
      <c r="C667" s="34"/>
      <c r="D667" s="34"/>
      <c r="E667" s="34"/>
      <c r="F667" s="34"/>
      <c r="G667" s="34"/>
    </row>
    <row r="668" spans="1:7" x14ac:dyDescent="0.3">
      <c r="A668" s="34"/>
      <c r="B668" s="34"/>
      <c r="C668" s="34"/>
      <c r="D668" s="34"/>
      <c r="E668" s="34"/>
      <c r="F668" s="34"/>
      <c r="G668" s="34"/>
    </row>
    <row r="669" spans="1:7" x14ac:dyDescent="0.3">
      <c r="A669" s="34"/>
      <c r="B669" s="34"/>
      <c r="C669" s="34"/>
      <c r="D669" s="34"/>
      <c r="E669" s="34"/>
      <c r="F669" s="34"/>
      <c r="G669" s="34"/>
    </row>
    <row r="670" spans="1:7" x14ac:dyDescent="0.3">
      <c r="A670" s="34"/>
      <c r="B670" s="34"/>
      <c r="C670" s="34"/>
      <c r="D670" s="34"/>
      <c r="E670" s="34"/>
      <c r="F670" s="34"/>
      <c r="G670" s="34"/>
    </row>
    <row r="671" spans="1:7" x14ac:dyDescent="0.3">
      <c r="A671" s="34"/>
      <c r="B671" s="34"/>
      <c r="C671" s="34"/>
      <c r="D671" s="34"/>
      <c r="E671" s="34"/>
      <c r="F671" s="34"/>
      <c r="G671" s="34"/>
    </row>
    <row r="672" spans="1:7" x14ac:dyDescent="0.3">
      <c r="A672" s="34"/>
      <c r="B672" s="34"/>
      <c r="C672" s="34"/>
      <c r="D672" s="34"/>
      <c r="E672" s="34"/>
      <c r="F672" s="34"/>
      <c r="G672" s="34"/>
    </row>
    <row r="673" spans="1:7" x14ac:dyDescent="0.3">
      <c r="A673" s="34"/>
      <c r="B673" s="34"/>
      <c r="C673" s="34"/>
      <c r="D673" s="34"/>
      <c r="E673" s="34"/>
      <c r="F673" s="34"/>
      <c r="G673" s="34"/>
    </row>
    <row r="674" spans="1:7" x14ac:dyDescent="0.3">
      <c r="A674" s="34"/>
      <c r="B674" s="34"/>
      <c r="C674" s="34"/>
      <c r="D674" s="34"/>
      <c r="E674" s="34"/>
      <c r="F674" s="34"/>
      <c r="G674" s="34"/>
    </row>
    <row r="675" spans="1:7" x14ac:dyDescent="0.3">
      <c r="A675" s="34"/>
      <c r="B675" s="34"/>
      <c r="C675" s="34"/>
      <c r="D675" s="34"/>
      <c r="E675" s="34"/>
      <c r="F675" s="34"/>
      <c r="G675" s="34"/>
    </row>
    <row r="676" spans="1:7" x14ac:dyDescent="0.3">
      <c r="A676" s="34"/>
      <c r="B676" s="34"/>
      <c r="C676" s="34"/>
      <c r="D676" s="34"/>
      <c r="E676" s="34"/>
      <c r="F676" s="34"/>
      <c r="G676" s="34"/>
    </row>
    <row r="677" spans="1:7" x14ac:dyDescent="0.3">
      <c r="A677" s="34"/>
      <c r="B677" s="34"/>
      <c r="C677" s="34"/>
      <c r="D677" s="34"/>
      <c r="E677" s="34"/>
      <c r="F677" s="34"/>
      <c r="G677" s="34"/>
    </row>
    <row r="678" spans="1:7" x14ac:dyDescent="0.3">
      <c r="A678" s="34"/>
      <c r="B678" s="34"/>
      <c r="C678" s="34"/>
      <c r="D678" s="34"/>
      <c r="E678" s="34"/>
      <c r="F678" s="34"/>
      <c r="G678" s="34"/>
    </row>
    <row r="679" spans="1:7" x14ac:dyDescent="0.3">
      <c r="A679" s="34"/>
      <c r="B679" s="34"/>
      <c r="C679" s="34"/>
      <c r="D679" s="34"/>
      <c r="E679" s="34"/>
      <c r="F679" s="34"/>
      <c r="G679" s="34"/>
    </row>
    <row r="680" spans="1:7" x14ac:dyDescent="0.3">
      <c r="A680" s="34"/>
      <c r="B680" s="34"/>
      <c r="C680" s="34"/>
      <c r="D680" s="34"/>
      <c r="E680" s="34"/>
      <c r="F680" s="34"/>
      <c r="G680" s="34"/>
    </row>
    <row r="681" spans="1:7" x14ac:dyDescent="0.3">
      <c r="A681" s="34"/>
      <c r="B681" s="34"/>
      <c r="C681" s="34"/>
      <c r="D681" s="34"/>
      <c r="E681" s="34"/>
      <c r="F681" s="34"/>
      <c r="G681" s="34"/>
    </row>
    <row r="682" spans="1:7" x14ac:dyDescent="0.3">
      <c r="A682" s="34"/>
      <c r="B682" s="34"/>
      <c r="C682" s="34"/>
      <c r="D682" s="34"/>
      <c r="E682" s="34"/>
      <c r="F682" s="34"/>
      <c r="G682" s="34"/>
    </row>
    <row r="683" spans="1:7" x14ac:dyDescent="0.3">
      <c r="A683" s="34"/>
      <c r="B683" s="34"/>
      <c r="C683" s="34"/>
      <c r="D683" s="34"/>
      <c r="E683" s="34"/>
      <c r="F683" s="34"/>
      <c r="G683" s="34"/>
    </row>
    <row r="684" spans="1:7" x14ac:dyDescent="0.3">
      <c r="A684" s="34"/>
      <c r="B684" s="34"/>
      <c r="C684" s="34"/>
      <c r="D684" s="34"/>
      <c r="E684" s="34"/>
      <c r="F684" s="34"/>
      <c r="G684" s="34"/>
    </row>
    <row r="685" spans="1:7" x14ac:dyDescent="0.3">
      <c r="A685" s="34"/>
      <c r="B685" s="34"/>
      <c r="C685" s="34"/>
      <c r="D685" s="34"/>
      <c r="E685" s="34"/>
      <c r="F685" s="34"/>
      <c r="G685" s="34"/>
    </row>
    <row r="686" spans="1:7" x14ac:dyDescent="0.3">
      <c r="A686" s="34"/>
      <c r="B686" s="34"/>
      <c r="C686" s="34"/>
      <c r="D686" s="34"/>
      <c r="E686" s="34"/>
      <c r="F686" s="34"/>
      <c r="G686" s="34"/>
    </row>
    <row r="687" spans="1:7" x14ac:dyDescent="0.3">
      <c r="A687" s="34"/>
      <c r="B687" s="34"/>
      <c r="C687" s="34"/>
      <c r="D687" s="34"/>
      <c r="E687" s="34"/>
      <c r="F687" s="34"/>
      <c r="G687" s="34"/>
    </row>
    <row r="688" spans="1:7" x14ac:dyDescent="0.3">
      <c r="A688" s="34"/>
      <c r="B688" s="34"/>
      <c r="C688" s="34"/>
      <c r="D688" s="34"/>
      <c r="E688" s="34"/>
      <c r="F688" s="34"/>
      <c r="G688" s="34"/>
    </row>
    <row r="689" spans="1:7" x14ac:dyDescent="0.3">
      <c r="A689" s="34"/>
      <c r="B689" s="34"/>
      <c r="C689" s="34"/>
      <c r="D689" s="34"/>
      <c r="E689" s="34"/>
      <c r="F689" s="34"/>
      <c r="G689" s="34"/>
    </row>
    <row r="690" spans="1:7" x14ac:dyDescent="0.3">
      <c r="A690" s="34"/>
      <c r="B690" s="34"/>
      <c r="C690" s="34"/>
      <c r="D690" s="34"/>
      <c r="E690" s="34"/>
      <c r="F690" s="34"/>
      <c r="G690" s="34"/>
    </row>
    <row r="691" spans="1:7" x14ac:dyDescent="0.3">
      <c r="A691" s="34"/>
      <c r="B691" s="34"/>
      <c r="C691" s="34"/>
      <c r="D691" s="34"/>
      <c r="E691" s="34"/>
      <c r="F691" s="34"/>
      <c r="G691" s="34"/>
    </row>
    <row r="692" spans="1:7" x14ac:dyDescent="0.3">
      <c r="A692" s="34"/>
      <c r="B692" s="34"/>
      <c r="C692" s="34"/>
      <c r="D692" s="34"/>
      <c r="E692" s="34"/>
      <c r="F692" s="34"/>
      <c r="G692" s="34"/>
    </row>
    <row r="693" spans="1:7" x14ac:dyDescent="0.3">
      <c r="A693" s="34"/>
      <c r="B693" s="34"/>
      <c r="C693" s="34"/>
      <c r="D693" s="34"/>
      <c r="E693" s="34"/>
      <c r="F693" s="34"/>
      <c r="G693" s="34"/>
    </row>
    <row r="694" spans="1:7" x14ac:dyDescent="0.3">
      <c r="A694" s="34"/>
      <c r="B694" s="34"/>
      <c r="C694" s="34"/>
      <c r="D694" s="34"/>
      <c r="E694" s="34"/>
      <c r="F694" s="34"/>
      <c r="G694" s="34"/>
    </row>
    <row r="695" spans="1:7" x14ac:dyDescent="0.3">
      <c r="A695" s="34"/>
      <c r="B695" s="34"/>
      <c r="C695" s="34"/>
      <c r="D695" s="34"/>
      <c r="E695" s="34"/>
      <c r="F695" s="34"/>
      <c r="G695" s="34"/>
    </row>
    <row r="696" spans="1:7" x14ac:dyDescent="0.3">
      <c r="A696" s="34"/>
      <c r="B696" s="34"/>
      <c r="C696" s="34"/>
      <c r="D696" s="34"/>
      <c r="E696" s="34"/>
      <c r="F696" s="34"/>
      <c r="G696" s="34"/>
    </row>
    <row r="697" spans="1:7" x14ac:dyDescent="0.3">
      <c r="A697" s="34"/>
      <c r="B697" s="34"/>
      <c r="C697" s="34"/>
      <c r="D697" s="34"/>
      <c r="E697" s="34"/>
      <c r="F697" s="34"/>
      <c r="G697" s="34"/>
    </row>
    <row r="698" spans="1:7" x14ac:dyDescent="0.3">
      <c r="A698" s="34"/>
      <c r="B698" s="34"/>
      <c r="C698" s="34"/>
      <c r="D698" s="34"/>
      <c r="E698" s="34"/>
      <c r="F698" s="34"/>
      <c r="G698" s="34"/>
    </row>
    <row r="699" spans="1:7" x14ac:dyDescent="0.3">
      <c r="A699" s="34"/>
      <c r="B699" s="34"/>
      <c r="C699" s="34"/>
      <c r="D699" s="34"/>
      <c r="E699" s="34"/>
      <c r="F699" s="34"/>
      <c r="G699" s="34"/>
    </row>
    <row r="700" spans="1:7" x14ac:dyDescent="0.3">
      <c r="A700" s="34"/>
      <c r="B700" s="34"/>
      <c r="C700" s="34"/>
      <c r="D700" s="34"/>
      <c r="E700" s="34"/>
      <c r="F700" s="34"/>
      <c r="G700" s="34"/>
    </row>
    <row r="701" spans="1:7" x14ac:dyDescent="0.3">
      <c r="A701" s="34"/>
      <c r="B701" s="34"/>
      <c r="C701" s="34"/>
      <c r="D701" s="34"/>
      <c r="E701" s="34"/>
      <c r="F701" s="34"/>
      <c r="G701" s="34"/>
    </row>
    <row r="702" spans="1:7" x14ac:dyDescent="0.3">
      <c r="A702" s="34"/>
      <c r="B702" s="34"/>
      <c r="C702" s="34"/>
      <c r="D702" s="34"/>
      <c r="E702" s="34"/>
      <c r="F702" s="34"/>
      <c r="G702" s="34"/>
    </row>
    <row r="703" spans="1:7" x14ac:dyDescent="0.3">
      <c r="A703" s="34"/>
      <c r="B703" s="34"/>
      <c r="C703" s="34"/>
      <c r="D703" s="34"/>
      <c r="E703" s="34"/>
      <c r="F703" s="34"/>
      <c r="G703" s="34"/>
    </row>
    <row r="704" spans="1:7" x14ac:dyDescent="0.3">
      <c r="A704" s="34"/>
      <c r="B704" s="34"/>
      <c r="C704" s="34"/>
      <c r="D704" s="34"/>
      <c r="E704" s="34"/>
      <c r="F704" s="34"/>
      <c r="G704" s="34"/>
    </row>
    <row r="705" spans="1:7" x14ac:dyDescent="0.3">
      <c r="A705" s="34"/>
      <c r="B705" s="34"/>
      <c r="C705" s="34"/>
      <c r="D705" s="34"/>
      <c r="E705" s="34"/>
      <c r="F705" s="34"/>
      <c r="G705" s="34"/>
    </row>
    <row r="706" spans="1:7" x14ac:dyDescent="0.3">
      <c r="A706" s="34"/>
      <c r="B706" s="34"/>
      <c r="C706" s="34"/>
      <c r="D706" s="34"/>
      <c r="E706" s="34"/>
      <c r="F706" s="34"/>
      <c r="G706" s="34"/>
    </row>
    <row r="707" spans="1:7" x14ac:dyDescent="0.3">
      <c r="A707" s="34"/>
      <c r="B707" s="34"/>
      <c r="C707" s="34"/>
      <c r="D707" s="34"/>
      <c r="E707" s="34"/>
      <c r="F707" s="34"/>
      <c r="G707" s="34"/>
    </row>
    <row r="708" spans="1:7" x14ac:dyDescent="0.3">
      <c r="A708" s="34"/>
      <c r="B708" s="34"/>
      <c r="C708" s="34"/>
      <c r="D708" s="34"/>
      <c r="E708" s="34"/>
      <c r="F708" s="34"/>
      <c r="G708" s="34"/>
    </row>
    <row r="709" spans="1:7" x14ac:dyDescent="0.3">
      <c r="A709" s="34"/>
      <c r="B709" s="34"/>
      <c r="C709" s="34"/>
      <c r="D709" s="34"/>
      <c r="E709" s="34"/>
      <c r="F709" s="34"/>
      <c r="G709" s="34"/>
    </row>
    <row r="710" spans="1:7" x14ac:dyDescent="0.3">
      <c r="A710" s="34"/>
      <c r="B710" s="34"/>
      <c r="C710" s="34"/>
      <c r="D710" s="34"/>
      <c r="E710" s="34"/>
      <c r="F710" s="34"/>
      <c r="G710" s="34"/>
    </row>
    <row r="711" spans="1:7" x14ac:dyDescent="0.3">
      <c r="A711" s="34"/>
      <c r="B711" s="34"/>
      <c r="C711" s="34"/>
      <c r="D711" s="34"/>
      <c r="E711" s="34"/>
      <c r="F711" s="34"/>
      <c r="G711" s="34"/>
    </row>
    <row r="712" spans="1:7" x14ac:dyDescent="0.3">
      <c r="A712" s="34"/>
      <c r="B712" s="34"/>
      <c r="C712" s="34"/>
      <c r="D712" s="34"/>
      <c r="E712" s="34"/>
      <c r="F712" s="34"/>
      <c r="G712" s="34"/>
    </row>
    <row r="713" spans="1:7" x14ac:dyDescent="0.3">
      <c r="A713" s="34"/>
      <c r="B713" s="34"/>
      <c r="C713" s="34"/>
      <c r="D713" s="34"/>
      <c r="E713" s="34"/>
      <c r="F713" s="34"/>
      <c r="G713" s="34"/>
    </row>
    <row r="714" spans="1:7" x14ac:dyDescent="0.3">
      <c r="A714" s="34"/>
      <c r="B714" s="34"/>
      <c r="C714" s="34"/>
      <c r="D714" s="34"/>
      <c r="E714" s="34"/>
      <c r="F714" s="34"/>
      <c r="G714" s="34"/>
    </row>
    <row r="715" spans="1:7" x14ac:dyDescent="0.3">
      <c r="A715" s="34"/>
      <c r="B715" s="34"/>
      <c r="C715" s="34"/>
      <c r="D715" s="34"/>
      <c r="E715" s="34"/>
      <c r="F715" s="34"/>
      <c r="G715" s="34"/>
    </row>
    <row r="716" spans="1:7" x14ac:dyDescent="0.3">
      <c r="A716" s="34"/>
      <c r="B716" s="34"/>
      <c r="C716" s="34"/>
      <c r="D716" s="34"/>
      <c r="E716" s="34"/>
      <c r="F716" s="34"/>
      <c r="G716" s="34"/>
    </row>
    <row r="717" spans="1:7" x14ac:dyDescent="0.3">
      <c r="A717" s="34"/>
      <c r="B717" s="34"/>
      <c r="C717" s="34"/>
      <c r="D717" s="34"/>
      <c r="E717" s="34"/>
      <c r="F717" s="34"/>
      <c r="G717" s="34"/>
    </row>
    <row r="718" spans="1:7" x14ac:dyDescent="0.3">
      <c r="A718" s="34"/>
      <c r="B718" s="34"/>
      <c r="C718" s="34"/>
      <c r="D718" s="34"/>
      <c r="E718" s="34"/>
      <c r="F718" s="34"/>
      <c r="G718" s="34"/>
    </row>
    <row r="719" spans="1:7" x14ac:dyDescent="0.3">
      <c r="A719" s="34"/>
      <c r="B719" s="34"/>
      <c r="C719" s="34"/>
      <c r="D719" s="34"/>
      <c r="E719" s="34"/>
      <c r="F719" s="34"/>
      <c r="G719" s="34"/>
    </row>
    <row r="720" spans="1:7" x14ac:dyDescent="0.3">
      <c r="A720" s="34"/>
      <c r="B720" s="34"/>
      <c r="C720" s="34"/>
      <c r="D720" s="34"/>
      <c r="E720" s="34"/>
      <c r="F720" s="34"/>
      <c r="G720" s="34"/>
    </row>
    <row r="721" spans="1:7" x14ac:dyDescent="0.3">
      <c r="A721" s="34"/>
      <c r="B721" s="34"/>
      <c r="C721" s="34"/>
      <c r="D721" s="34"/>
      <c r="E721" s="34"/>
      <c r="F721" s="34"/>
      <c r="G721" s="34"/>
    </row>
    <row r="722" spans="1:7" x14ac:dyDescent="0.3">
      <c r="A722" s="34"/>
      <c r="B722" s="34"/>
      <c r="C722" s="34"/>
      <c r="D722" s="34"/>
      <c r="E722" s="34"/>
      <c r="F722" s="34"/>
      <c r="G722" s="34"/>
    </row>
    <row r="723" spans="1:7" x14ac:dyDescent="0.3">
      <c r="A723" s="34"/>
      <c r="B723" s="34"/>
      <c r="C723" s="34"/>
      <c r="D723" s="34"/>
      <c r="E723" s="34"/>
      <c r="F723" s="34"/>
      <c r="G723" s="34"/>
    </row>
    <row r="724" spans="1:7" x14ac:dyDescent="0.3">
      <c r="A724" s="34"/>
      <c r="B724" s="34"/>
      <c r="C724" s="34"/>
      <c r="D724" s="34"/>
      <c r="E724" s="34"/>
      <c r="F724" s="34"/>
      <c r="G724" s="34"/>
    </row>
    <row r="725" spans="1:7" x14ac:dyDescent="0.3">
      <c r="A725" s="34"/>
      <c r="B725" s="34"/>
      <c r="C725" s="34"/>
      <c r="D725" s="34"/>
      <c r="E725" s="34"/>
      <c r="F725" s="34"/>
      <c r="G725" s="34"/>
    </row>
    <row r="726" spans="1:7" x14ac:dyDescent="0.3">
      <c r="A726" s="34"/>
      <c r="B726" s="34"/>
      <c r="C726" s="34"/>
      <c r="D726" s="34"/>
      <c r="E726" s="34"/>
      <c r="F726" s="34"/>
      <c r="G726" s="34"/>
    </row>
    <row r="727" spans="1:7" x14ac:dyDescent="0.3">
      <c r="A727" s="34"/>
      <c r="B727" s="34"/>
      <c r="C727" s="34"/>
      <c r="D727" s="34"/>
      <c r="E727" s="34"/>
      <c r="F727" s="34"/>
      <c r="G727" s="34"/>
    </row>
    <row r="728" spans="1:7" x14ac:dyDescent="0.3">
      <c r="A728" s="34"/>
      <c r="B728" s="34"/>
      <c r="C728" s="34"/>
      <c r="D728" s="34"/>
      <c r="E728" s="34"/>
      <c r="F728" s="34"/>
      <c r="G728" s="34"/>
    </row>
    <row r="729" spans="1:7" x14ac:dyDescent="0.3">
      <c r="A729" s="34"/>
      <c r="B729" s="34"/>
      <c r="C729" s="34"/>
      <c r="D729" s="34"/>
      <c r="E729" s="34"/>
      <c r="F729" s="34"/>
      <c r="G729" s="34"/>
    </row>
    <row r="730" spans="1:7" x14ac:dyDescent="0.3">
      <c r="A730" s="34"/>
      <c r="B730" s="34"/>
      <c r="C730" s="34"/>
      <c r="D730" s="34"/>
      <c r="E730" s="34"/>
      <c r="F730" s="34"/>
      <c r="G730" s="34"/>
    </row>
    <row r="731" spans="1:7" x14ac:dyDescent="0.3">
      <c r="A731" s="34"/>
      <c r="B731" s="34"/>
      <c r="C731" s="34"/>
      <c r="D731" s="34"/>
      <c r="E731" s="34"/>
      <c r="F731" s="34"/>
      <c r="G731" s="34"/>
    </row>
    <row r="732" spans="1:7" x14ac:dyDescent="0.3">
      <c r="A732" s="34"/>
      <c r="B732" s="34"/>
      <c r="C732" s="34"/>
      <c r="D732" s="34"/>
      <c r="E732" s="34"/>
      <c r="F732" s="34"/>
      <c r="G732" s="34"/>
    </row>
    <row r="733" spans="1:7" x14ac:dyDescent="0.3">
      <c r="A733" s="34"/>
      <c r="B733" s="34"/>
      <c r="C733" s="34"/>
      <c r="D733" s="34"/>
      <c r="E733" s="34"/>
      <c r="F733" s="34"/>
      <c r="G733" s="34"/>
    </row>
    <row r="734" spans="1:7" x14ac:dyDescent="0.3">
      <c r="A734" s="34"/>
      <c r="B734" s="34"/>
      <c r="C734" s="34"/>
      <c r="D734" s="34"/>
      <c r="E734" s="34"/>
      <c r="F734" s="34"/>
      <c r="G734" s="34"/>
    </row>
    <row r="735" spans="1:7" x14ac:dyDescent="0.3">
      <c r="A735" s="34"/>
      <c r="B735" s="34"/>
      <c r="C735" s="34"/>
      <c r="D735" s="34"/>
      <c r="E735" s="34"/>
      <c r="F735" s="34"/>
      <c r="G735" s="34"/>
    </row>
    <row r="736" spans="1:7" x14ac:dyDescent="0.3">
      <c r="A736" s="34"/>
      <c r="B736" s="34"/>
      <c r="C736" s="34"/>
      <c r="D736" s="34"/>
      <c r="E736" s="34"/>
      <c r="F736" s="34"/>
      <c r="G736" s="34"/>
    </row>
    <row r="737" spans="1:7" x14ac:dyDescent="0.3">
      <c r="A737" s="34"/>
      <c r="B737" s="34"/>
      <c r="C737" s="34"/>
      <c r="D737" s="34"/>
      <c r="E737" s="34"/>
      <c r="F737" s="34"/>
      <c r="G737" s="34"/>
    </row>
    <row r="738" spans="1:7" x14ac:dyDescent="0.3">
      <c r="A738" s="34"/>
      <c r="B738" s="34"/>
      <c r="C738" s="34"/>
      <c r="D738" s="34"/>
      <c r="E738" s="34"/>
      <c r="F738" s="34"/>
      <c r="G738" s="34"/>
    </row>
    <row r="739" spans="1:7" x14ac:dyDescent="0.3">
      <c r="A739" s="34"/>
      <c r="B739" s="34"/>
      <c r="C739" s="34"/>
      <c r="D739" s="34"/>
      <c r="E739" s="34"/>
      <c r="F739" s="34"/>
      <c r="G739" s="34"/>
    </row>
    <row r="740" spans="1:7" x14ac:dyDescent="0.3">
      <c r="A740" s="34"/>
      <c r="B740" s="34"/>
      <c r="C740" s="34"/>
      <c r="D740" s="34"/>
      <c r="E740" s="34"/>
      <c r="F740" s="34"/>
      <c r="G740" s="34"/>
    </row>
    <row r="741" spans="1:7" x14ac:dyDescent="0.3">
      <c r="A741" s="34"/>
      <c r="B741" s="34"/>
      <c r="C741" s="34"/>
      <c r="D741" s="34"/>
      <c r="E741" s="34"/>
      <c r="F741" s="34"/>
      <c r="G741" s="34"/>
    </row>
    <row r="742" spans="1:7" x14ac:dyDescent="0.3">
      <c r="A742" s="34"/>
      <c r="B742" s="34"/>
      <c r="C742" s="34"/>
      <c r="D742" s="34"/>
      <c r="E742" s="34"/>
      <c r="F742" s="34"/>
      <c r="G742" s="34"/>
    </row>
    <row r="743" spans="1:7" x14ac:dyDescent="0.3">
      <c r="A743" s="34"/>
      <c r="B743" s="34"/>
      <c r="C743" s="34"/>
      <c r="D743" s="34"/>
      <c r="E743" s="34"/>
      <c r="F743" s="34"/>
      <c r="G743" s="34"/>
    </row>
    <row r="744" spans="1:7" x14ac:dyDescent="0.3">
      <c r="A744" s="34"/>
      <c r="B744" s="34"/>
      <c r="C744" s="34"/>
      <c r="D744" s="34"/>
      <c r="E744" s="34"/>
      <c r="F744" s="34"/>
      <c r="G744" s="34"/>
    </row>
    <row r="745" spans="1:7" x14ac:dyDescent="0.3">
      <c r="A745" s="34"/>
      <c r="B745" s="34"/>
      <c r="C745" s="34"/>
      <c r="D745" s="34"/>
      <c r="E745" s="34"/>
      <c r="F745" s="34"/>
      <c r="G745" s="34"/>
    </row>
    <row r="746" spans="1:7" x14ac:dyDescent="0.3">
      <c r="A746" s="34"/>
      <c r="B746" s="34"/>
      <c r="C746" s="34"/>
      <c r="D746" s="34"/>
      <c r="E746" s="34"/>
      <c r="F746" s="34"/>
      <c r="G746" s="34"/>
    </row>
    <row r="747" spans="1:7" x14ac:dyDescent="0.3">
      <c r="A747" s="34"/>
      <c r="B747" s="34"/>
      <c r="C747" s="34"/>
      <c r="D747" s="34"/>
      <c r="E747" s="34"/>
      <c r="F747" s="34"/>
      <c r="G747" s="34"/>
    </row>
    <row r="748" spans="1:7" x14ac:dyDescent="0.3">
      <c r="A748" s="34"/>
      <c r="B748" s="34"/>
      <c r="C748" s="34"/>
      <c r="D748" s="34"/>
      <c r="E748" s="34"/>
      <c r="F748" s="34"/>
      <c r="G748" s="34"/>
    </row>
    <row r="749" spans="1:7" x14ac:dyDescent="0.3">
      <c r="A749" s="34"/>
      <c r="B749" s="34"/>
      <c r="C749" s="34"/>
      <c r="D749" s="34"/>
      <c r="E749" s="34"/>
      <c r="F749" s="34"/>
      <c r="G749" s="34"/>
    </row>
    <row r="750" spans="1:7" x14ac:dyDescent="0.3">
      <c r="A750" s="34"/>
      <c r="B750" s="34"/>
      <c r="C750" s="34"/>
      <c r="D750" s="34"/>
      <c r="E750" s="34"/>
      <c r="F750" s="34"/>
      <c r="G750" s="34"/>
    </row>
    <row r="751" spans="1:7" x14ac:dyDescent="0.3">
      <c r="A751" s="34"/>
      <c r="B751" s="34"/>
      <c r="C751" s="34"/>
      <c r="D751" s="34"/>
      <c r="E751" s="34"/>
      <c r="F751" s="34"/>
      <c r="G751" s="34"/>
    </row>
    <row r="752" spans="1:7" x14ac:dyDescent="0.3">
      <c r="A752" s="34"/>
      <c r="B752" s="34"/>
      <c r="C752" s="34"/>
      <c r="D752" s="34"/>
      <c r="E752" s="34"/>
      <c r="F752" s="34"/>
      <c r="G752" s="34"/>
    </row>
    <row r="753" spans="1:7" x14ac:dyDescent="0.3">
      <c r="A753" s="34"/>
      <c r="B753" s="34"/>
      <c r="C753" s="34"/>
      <c r="D753" s="34"/>
      <c r="E753" s="34"/>
      <c r="F753" s="34"/>
      <c r="G753" s="34"/>
    </row>
    <row r="754" spans="1:7" x14ac:dyDescent="0.3">
      <c r="A754" s="34"/>
      <c r="B754" s="34"/>
      <c r="C754" s="34"/>
      <c r="D754" s="34"/>
      <c r="E754" s="34"/>
      <c r="F754" s="34"/>
      <c r="G754" s="34"/>
    </row>
    <row r="755" spans="1:7" x14ac:dyDescent="0.3">
      <c r="A755" s="34"/>
      <c r="B755" s="34"/>
      <c r="C755" s="34"/>
      <c r="D755" s="34"/>
      <c r="E755" s="34"/>
      <c r="F755" s="34"/>
      <c r="G755" s="34"/>
    </row>
    <row r="756" spans="1:7" x14ac:dyDescent="0.3">
      <c r="A756" s="34"/>
      <c r="B756" s="34"/>
      <c r="C756" s="34"/>
      <c r="D756" s="34"/>
      <c r="E756" s="34"/>
      <c r="F756" s="34"/>
      <c r="G756" s="34"/>
    </row>
    <row r="757" spans="1:7" x14ac:dyDescent="0.3">
      <c r="A757" s="34"/>
      <c r="B757" s="34"/>
      <c r="C757" s="34"/>
      <c r="D757" s="34"/>
      <c r="E757" s="34"/>
      <c r="F757" s="34"/>
      <c r="G757" s="34"/>
    </row>
    <row r="758" spans="1:7" x14ac:dyDescent="0.3">
      <c r="A758" s="34"/>
      <c r="B758" s="34"/>
      <c r="C758" s="34"/>
      <c r="D758" s="34"/>
      <c r="E758" s="34"/>
      <c r="F758" s="34"/>
      <c r="G758" s="34"/>
    </row>
    <row r="759" spans="1:7" x14ac:dyDescent="0.3">
      <c r="A759" s="34"/>
      <c r="B759" s="34"/>
      <c r="C759" s="34"/>
      <c r="D759" s="34"/>
      <c r="E759" s="34"/>
      <c r="F759" s="34"/>
      <c r="G759" s="34"/>
    </row>
    <row r="760" spans="1:7" x14ac:dyDescent="0.3">
      <c r="A760" s="34"/>
      <c r="B760" s="34"/>
      <c r="C760" s="34"/>
      <c r="D760" s="34"/>
      <c r="E760" s="34"/>
      <c r="F760" s="34"/>
      <c r="G760" s="34"/>
    </row>
    <row r="761" spans="1:7" x14ac:dyDescent="0.3">
      <c r="A761" s="34"/>
      <c r="B761" s="34"/>
      <c r="C761" s="34"/>
      <c r="D761" s="34"/>
      <c r="E761" s="34"/>
      <c r="F761" s="34"/>
      <c r="G761" s="34"/>
    </row>
    <row r="762" spans="1:7" x14ac:dyDescent="0.3">
      <c r="A762" s="34"/>
      <c r="B762" s="34"/>
      <c r="C762" s="34"/>
      <c r="D762" s="34"/>
      <c r="E762" s="34"/>
      <c r="F762" s="34"/>
      <c r="G762" s="34"/>
    </row>
    <row r="763" spans="1:7" x14ac:dyDescent="0.3">
      <c r="A763" s="34"/>
      <c r="B763" s="34"/>
      <c r="C763" s="34"/>
      <c r="D763" s="34"/>
      <c r="E763" s="34"/>
      <c r="F763" s="34"/>
      <c r="G763" s="34"/>
    </row>
    <row r="764" spans="1:7" x14ac:dyDescent="0.3">
      <c r="A764" s="34"/>
      <c r="B764" s="34"/>
      <c r="C764" s="34"/>
      <c r="D764" s="34"/>
      <c r="E764" s="34"/>
      <c r="F764" s="34"/>
      <c r="G764" s="34"/>
    </row>
    <row r="765" spans="1:7" x14ac:dyDescent="0.3">
      <c r="A765" s="34"/>
      <c r="B765" s="34"/>
      <c r="C765" s="34"/>
      <c r="D765" s="34"/>
      <c r="E765" s="34"/>
      <c r="F765" s="34"/>
      <c r="G765" s="34"/>
    </row>
    <row r="766" spans="1:7" x14ac:dyDescent="0.3">
      <c r="A766" s="34"/>
      <c r="B766" s="34"/>
      <c r="C766" s="34"/>
      <c r="D766" s="34"/>
      <c r="E766" s="34"/>
      <c r="F766" s="34"/>
      <c r="G766" s="34"/>
    </row>
    <row r="767" spans="1:7" x14ac:dyDescent="0.3">
      <c r="A767" s="34"/>
      <c r="B767" s="34"/>
      <c r="C767" s="34"/>
      <c r="D767" s="34"/>
      <c r="E767" s="34"/>
      <c r="F767" s="34"/>
      <c r="G767" s="34"/>
    </row>
    <row r="768" spans="1:7" x14ac:dyDescent="0.3">
      <c r="A768" s="34"/>
      <c r="B768" s="34"/>
      <c r="C768" s="34"/>
      <c r="D768" s="34"/>
      <c r="E768" s="34"/>
      <c r="F768" s="34"/>
      <c r="G768" s="34"/>
    </row>
    <row r="769" spans="1:7" x14ac:dyDescent="0.3">
      <c r="A769" s="34"/>
      <c r="B769" s="34"/>
      <c r="C769" s="34"/>
      <c r="D769" s="34"/>
      <c r="E769" s="34"/>
      <c r="F769" s="34"/>
      <c r="G769" s="34"/>
    </row>
    <row r="770" spans="1:7" x14ac:dyDescent="0.3">
      <c r="A770" s="34"/>
      <c r="B770" s="34"/>
      <c r="C770" s="34"/>
      <c r="D770" s="34"/>
      <c r="E770" s="34"/>
      <c r="F770" s="34"/>
      <c r="G770" s="34"/>
    </row>
    <row r="771" spans="1:7" x14ac:dyDescent="0.3">
      <c r="A771" s="34"/>
      <c r="B771" s="34"/>
      <c r="C771" s="34"/>
      <c r="D771" s="34"/>
      <c r="E771" s="34"/>
      <c r="F771" s="34"/>
      <c r="G771" s="34"/>
    </row>
    <row r="772" spans="1:7" x14ac:dyDescent="0.3">
      <c r="A772" s="34"/>
      <c r="B772" s="34"/>
      <c r="C772" s="34"/>
      <c r="D772" s="34"/>
      <c r="E772" s="34"/>
      <c r="F772" s="34"/>
      <c r="G772" s="34"/>
    </row>
    <row r="773" spans="1:7" x14ac:dyDescent="0.3">
      <c r="A773" s="34"/>
      <c r="B773" s="34"/>
      <c r="C773" s="34"/>
      <c r="D773" s="34"/>
      <c r="E773" s="34"/>
      <c r="F773" s="34"/>
      <c r="G773" s="34"/>
    </row>
    <row r="774" spans="1:7" x14ac:dyDescent="0.3">
      <c r="A774" s="34"/>
      <c r="B774" s="34"/>
      <c r="C774" s="34"/>
      <c r="D774" s="34"/>
      <c r="E774" s="34"/>
      <c r="F774" s="34"/>
      <c r="G774" s="34"/>
    </row>
    <row r="775" spans="1:7" x14ac:dyDescent="0.3">
      <c r="A775" s="34"/>
      <c r="B775" s="34"/>
      <c r="C775" s="34"/>
      <c r="D775" s="34"/>
      <c r="E775" s="34"/>
      <c r="F775" s="34"/>
      <c r="G775" s="34"/>
    </row>
    <row r="776" spans="1:7" x14ac:dyDescent="0.3">
      <c r="A776" s="34"/>
      <c r="B776" s="34"/>
      <c r="C776" s="34"/>
      <c r="D776" s="34"/>
      <c r="E776" s="34"/>
      <c r="F776" s="34"/>
      <c r="G776" s="34"/>
    </row>
    <row r="777" spans="1:7" x14ac:dyDescent="0.3">
      <c r="A777" s="34"/>
      <c r="B777" s="34"/>
      <c r="C777" s="34"/>
      <c r="D777" s="34"/>
      <c r="E777" s="34"/>
      <c r="F777" s="34"/>
      <c r="G777" s="34"/>
    </row>
    <row r="778" spans="1:7" x14ac:dyDescent="0.3">
      <c r="A778" s="34"/>
      <c r="B778" s="34"/>
      <c r="C778" s="34"/>
      <c r="D778" s="34"/>
      <c r="E778" s="34"/>
      <c r="F778" s="34"/>
      <c r="G778" s="34"/>
    </row>
    <row r="779" spans="1:7" x14ac:dyDescent="0.3">
      <c r="A779" s="34"/>
      <c r="B779" s="34"/>
      <c r="C779" s="34"/>
      <c r="D779" s="34"/>
      <c r="E779" s="34"/>
      <c r="F779" s="34"/>
      <c r="G779" s="34"/>
    </row>
    <row r="780" spans="1:7" x14ac:dyDescent="0.3">
      <c r="A780" s="34"/>
      <c r="B780" s="34"/>
      <c r="C780" s="34"/>
      <c r="D780" s="34"/>
      <c r="E780" s="34"/>
      <c r="F780" s="34"/>
      <c r="G780" s="34"/>
    </row>
    <row r="781" spans="1:7" x14ac:dyDescent="0.3">
      <c r="A781" s="34"/>
      <c r="B781" s="34"/>
      <c r="C781" s="34"/>
      <c r="D781" s="34"/>
      <c r="E781" s="34"/>
      <c r="F781" s="34"/>
      <c r="G781" s="34"/>
    </row>
    <row r="782" spans="1:7" x14ac:dyDescent="0.3">
      <c r="A782" s="34"/>
      <c r="B782" s="34"/>
      <c r="C782" s="34"/>
      <c r="D782" s="34"/>
      <c r="E782" s="34"/>
      <c r="F782" s="34"/>
      <c r="G782" s="34"/>
    </row>
    <row r="783" spans="1:7" x14ac:dyDescent="0.3">
      <c r="A783" s="34"/>
      <c r="B783" s="34"/>
      <c r="C783" s="34"/>
      <c r="D783" s="34"/>
      <c r="E783" s="34"/>
      <c r="F783" s="34"/>
      <c r="G783" s="34"/>
    </row>
    <row r="784" spans="1:7" x14ac:dyDescent="0.3">
      <c r="A784" s="34"/>
      <c r="B784" s="34"/>
      <c r="C784" s="34"/>
      <c r="D784" s="34"/>
      <c r="E784" s="34"/>
      <c r="F784" s="34"/>
      <c r="G784" s="34"/>
    </row>
    <row r="785" spans="1:7" x14ac:dyDescent="0.3">
      <c r="A785" s="34"/>
      <c r="B785" s="34"/>
      <c r="C785" s="34"/>
      <c r="D785" s="34"/>
      <c r="E785" s="34"/>
      <c r="F785" s="34"/>
      <c r="G785" s="34"/>
    </row>
    <row r="786" spans="1:7" x14ac:dyDescent="0.3">
      <c r="A786" s="34"/>
      <c r="B786" s="34"/>
      <c r="C786" s="34"/>
      <c r="D786" s="34"/>
      <c r="E786" s="34"/>
      <c r="F786" s="34"/>
      <c r="G786" s="34"/>
    </row>
    <row r="787" spans="1:7" x14ac:dyDescent="0.3">
      <c r="A787" s="34"/>
      <c r="B787" s="34"/>
      <c r="C787" s="34"/>
      <c r="D787" s="34"/>
      <c r="E787" s="34"/>
      <c r="F787" s="34"/>
      <c r="G787" s="34"/>
    </row>
    <row r="788" spans="1:7" x14ac:dyDescent="0.3">
      <c r="A788" s="34"/>
      <c r="B788" s="34"/>
      <c r="C788" s="34"/>
      <c r="D788" s="34"/>
      <c r="E788" s="34"/>
      <c r="F788" s="34"/>
      <c r="G788" s="34"/>
    </row>
    <row r="789" spans="1:7" x14ac:dyDescent="0.3">
      <c r="A789" s="34"/>
      <c r="B789" s="34"/>
      <c r="C789" s="34"/>
      <c r="D789" s="34"/>
      <c r="E789" s="34"/>
      <c r="F789" s="34"/>
      <c r="G789" s="34"/>
    </row>
    <row r="790" spans="1:7" x14ac:dyDescent="0.3">
      <c r="A790" s="34"/>
      <c r="B790" s="34"/>
      <c r="C790" s="34"/>
      <c r="D790" s="34"/>
      <c r="E790" s="34"/>
      <c r="F790" s="34"/>
      <c r="G790" s="34"/>
    </row>
    <row r="791" spans="1:7" x14ac:dyDescent="0.3">
      <c r="A791" s="34"/>
      <c r="B791" s="34"/>
      <c r="C791" s="34"/>
      <c r="D791" s="34"/>
      <c r="E791" s="34"/>
      <c r="F791" s="34"/>
      <c r="G791" s="34"/>
    </row>
    <row r="792" spans="1:7" x14ac:dyDescent="0.3">
      <c r="A792" s="34"/>
      <c r="B792" s="34"/>
      <c r="C792" s="34"/>
      <c r="D792" s="34"/>
      <c r="E792" s="34"/>
      <c r="F792" s="34"/>
      <c r="G792" s="34"/>
    </row>
    <row r="793" spans="1:7" x14ac:dyDescent="0.3">
      <c r="A793" s="34"/>
      <c r="B793" s="34"/>
      <c r="C793" s="34"/>
      <c r="D793" s="34"/>
      <c r="E793" s="34"/>
      <c r="F793" s="34"/>
      <c r="G793" s="34"/>
    </row>
    <row r="794" spans="1:7" x14ac:dyDescent="0.3">
      <c r="A794" s="34"/>
      <c r="B794" s="34"/>
      <c r="C794" s="34"/>
      <c r="D794" s="34"/>
      <c r="E794" s="34"/>
      <c r="F794" s="34"/>
      <c r="G794" s="34"/>
    </row>
    <row r="795" spans="1:7" x14ac:dyDescent="0.3">
      <c r="A795" s="34"/>
      <c r="B795" s="34"/>
      <c r="C795" s="34"/>
      <c r="D795" s="34"/>
      <c r="E795" s="34"/>
      <c r="F795" s="34"/>
      <c r="G795" s="34"/>
    </row>
    <row r="796" spans="1:7" x14ac:dyDescent="0.3">
      <c r="A796" s="34"/>
      <c r="B796" s="34"/>
      <c r="C796" s="34"/>
      <c r="D796" s="34"/>
      <c r="E796" s="34"/>
      <c r="F796" s="34"/>
      <c r="G796" s="34"/>
    </row>
    <row r="797" spans="1:7" x14ac:dyDescent="0.3">
      <c r="A797" s="34"/>
      <c r="B797" s="34"/>
      <c r="C797" s="34"/>
      <c r="D797" s="34"/>
      <c r="E797" s="34"/>
      <c r="F797" s="34"/>
      <c r="G797" s="34"/>
    </row>
    <row r="798" spans="1:7" x14ac:dyDescent="0.3">
      <c r="A798" s="34"/>
      <c r="B798" s="34"/>
      <c r="C798" s="34"/>
      <c r="D798" s="34"/>
      <c r="E798" s="34"/>
      <c r="F798" s="34"/>
      <c r="G798" s="34"/>
    </row>
    <row r="799" spans="1:7" x14ac:dyDescent="0.3">
      <c r="A799" s="34"/>
      <c r="B799" s="34"/>
      <c r="C799" s="34"/>
      <c r="D799" s="34"/>
      <c r="E799" s="34"/>
      <c r="F799" s="34"/>
      <c r="G799" s="34"/>
    </row>
    <row r="800" spans="1:7" x14ac:dyDescent="0.3">
      <c r="A800" s="34"/>
      <c r="B800" s="34"/>
      <c r="C800" s="34"/>
      <c r="D800" s="34"/>
      <c r="E800" s="34"/>
      <c r="F800" s="34"/>
      <c r="G800" s="34"/>
    </row>
    <row r="801" spans="1:7" x14ac:dyDescent="0.3">
      <c r="A801" s="34"/>
      <c r="B801" s="34"/>
      <c r="C801" s="34"/>
      <c r="D801" s="34"/>
      <c r="E801" s="34"/>
      <c r="F801" s="34"/>
      <c r="G801" s="34"/>
    </row>
    <row r="802" spans="1:7" x14ac:dyDescent="0.3">
      <c r="A802" s="34"/>
      <c r="B802" s="34"/>
      <c r="C802" s="34"/>
      <c r="D802" s="34"/>
      <c r="E802" s="34"/>
      <c r="F802" s="34"/>
      <c r="G802" s="34"/>
    </row>
    <row r="803" spans="1:7" x14ac:dyDescent="0.3">
      <c r="A803" s="34"/>
      <c r="B803" s="34"/>
      <c r="C803" s="34"/>
      <c r="D803" s="34"/>
      <c r="E803" s="34"/>
      <c r="F803" s="34"/>
      <c r="G803" s="34"/>
    </row>
    <row r="804" spans="1:7" x14ac:dyDescent="0.3">
      <c r="A804" s="34"/>
      <c r="B804" s="34"/>
      <c r="C804" s="34"/>
      <c r="D804" s="34"/>
      <c r="E804" s="34"/>
      <c r="F804" s="34"/>
      <c r="G804" s="34"/>
    </row>
    <row r="805" spans="1:7" x14ac:dyDescent="0.3">
      <c r="A805" s="34"/>
      <c r="B805" s="34"/>
      <c r="C805" s="34"/>
      <c r="D805" s="34"/>
      <c r="E805" s="34"/>
      <c r="F805" s="34"/>
      <c r="G805" s="34"/>
    </row>
    <row r="806" spans="1:7" x14ac:dyDescent="0.3">
      <c r="A806" s="34"/>
      <c r="B806" s="34"/>
      <c r="C806" s="34"/>
      <c r="D806" s="34"/>
      <c r="E806" s="34"/>
      <c r="F806" s="34"/>
      <c r="G806" s="34"/>
    </row>
    <row r="807" spans="1:7" x14ac:dyDescent="0.3">
      <c r="A807" s="34"/>
      <c r="B807" s="34"/>
      <c r="C807" s="34"/>
      <c r="D807" s="34"/>
      <c r="E807" s="34"/>
      <c r="F807" s="34"/>
      <c r="G807" s="34"/>
    </row>
    <row r="808" spans="1:7" x14ac:dyDescent="0.3">
      <c r="A808" s="34"/>
      <c r="B808" s="34"/>
      <c r="C808" s="34"/>
      <c r="D808" s="34"/>
      <c r="E808" s="34"/>
      <c r="F808" s="34"/>
      <c r="G808" s="34"/>
    </row>
    <row r="809" spans="1:7" x14ac:dyDescent="0.3">
      <c r="A809" s="34"/>
      <c r="B809" s="34"/>
      <c r="C809" s="34"/>
      <c r="D809" s="34"/>
      <c r="E809" s="34"/>
      <c r="F809" s="34"/>
      <c r="G809" s="34"/>
    </row>
    <row r="810" spans="1:7" x14ac:dyDescent="0.3">
      <c r="A810" s="34"/>
      <c r="B810" s="34"/>
      <c r="C810" s="34"/>
      <c r="D810" s="34"/>
      <c r="E810" s="34"/>
      <c r="F810" s="34"/>
      <c r="G810" s="34"/>
    </row>
    <row r="811" spans="1:7" x14ac:dyDescent="0.3">
      <c r="A811" s="34"/>
      <c r="B811" s="34"/>
      <c r="C811" s="34"/>
      <c r="D811" s="34"/>
      <c r="E811" s="34"/>
      <c r="F811" s="34"/>
      <c r="G811" s="34"/>
    </row>
    <row r="812" spans="1:7" x14ac:dyDescent="0.3">
      <c r="A812" s="34"/>
      <c r="B812" s="34"/>
      <c r="C812" s="34"/>
      <c r="D812" s="34"/>
      <c r="E812" s="34"/>
      <c r="F812" s="34"/>
      <c r="G812" s="34"/>
    </row>
    <row r="813" spans="1:7" x14ac:dyDescent="0.3">
      <c r="A813" s="34"/>
      <c r="B813" s="34"/>
      <c r="C813" s="34"/>
      <c r="D813" s="34"/>
      <c r="E813" s="34"/>
      <c r="F813" s="34"/>
      <c r="G813" s="34"/>
    </row>
    <row r="814" spans="1:7" x14ac:dyDescent="0.3">
      <c r="A814" s="34"/>
      <c r="B814" s="34"/>
      <c r="C814" s="34"/>
      <c r="D814" s="34"/>
      <c r="E814" s="34"/>
      <c r="F814" s="34"/>
      <c r="G814" s="34"/>
    </row>
    <row r="815" spans="1:7" x14ac:dyDescent="0.3">
      <c r="A815" s="34"/>
      <c r="B815" s="34"/>
      <c r="C815" s="34"/>
      <c r="D815" s="34"/>
      <c r="E815" s="34"/>
      <c r="F815" s="34"/>
      <c r="G815" s="34"/>
    </row>
    <row r="816" spans="1:7" x14ac:dyDescent="0.3">
      <c r="A816" s="34"/>
      <c r="B816" s="34"/>
      <c r="C816" s="34"/>
      <c r="D816" s="34"/>
      <c r="E816" s="34"/>
      <c r="F816" s="34"/>
      <c r="G816" s="34"/>
    </row>
    <row r="817" spans="1:7" x14ac:dyDescent="0.3">
      <c r="A817" s="34"/>
      <c r="B817" s="34"/>
      <c r="C817" s="34"/>
      <c r="D817" s="34"/>
      <c r="E817" s="34"/>
      <c r="F817" s="34"/>
      <c r="G817" s="34"/>
    </row>
    <row r="818" spans="1:7" x14ac:dyDescent="0.3">
      <c r="A818" s="34"/>
      <c r="B818" s="34"/>
      <c r="C818" s="34"/>
      <c r="D818" s="34"/>
      <c r="E818" s="34"/>
      <c r="F818" s="34"/>
      <c r="G818" s="34"/>
    </row>
    <row r="819" spans="1:7" x14ac:dyDescent="0.3">
      <c r="A819" s="34"/>
      <c r="B819" s="34"/>
      <c r="C819" s="34"/>
      <c r="D819" s="34"/>
      <c r="E819" s="34"/>
      <c r="F819" s="34"/>
      <c r="G819" s="34"/>
    </row>
    <row r="820" spans="1:7" x14ac:dyDescent="0.3">
      <c r="A820" s="34"/>
      <c r="B820" s="34"/>
      <c r="C820" s="34"/>
      <c r="D820" s="34"/>
      <c r="E820" s="34"/>
      <c r="F820" s="34"/>
      <c r="G820" s="34"/>
    </row>
    <row r="821" spans="1:7" x14ac:dyDescent="0.3">
      <c r="A821" s="34"/>
      <c r="B821" s="34"/>
      <c r="C821" s="34"/>
      <c r="D821" s="34"/>
      <c r="E821" s="34"/>
      <c r="F821" s="34"/>
      <c r="G821" s="34"/>
    </row>
    <row r="822" spans="1:7" x14ac:dyDescent="0.3">
      <c r="A822" s="34"/>
      <c r="B822" s="34"/>
      <c r="C822" s="34"/>
      <c r="D822" s="34"/>
      <c r="E822" s="34"/>
      <c r="F822" s="34"/>
      <c r="G822" s="34"/>
    </row>
    <row r="823" spans="1:7" x14ac:dyDescent="0.3">
      <c r="A823" s="34"/>
      <c r="B823" s="34"/>
      <c r="C823" s="34"/>
      <c r="D823" s="34"/>
      <c r="E823" s="34"/>
      <c r="F823" s="34"/>
      <c r="G823" s="34"/>
    </row>
    <row r="824" spans="1:7" x14ac:dyDescent="0.3">
      <c r="A824" s="34"/>
      <c r="B824" s="34"/>
      <c r="C824" s="34"/>
      <c r="D824" s="34"/>
      <c r="E824" s="34"/>
      <c r="F824" s="34"/>
      <c r="G824" s="34"/>
    </row>
    <row r="825" spans="1:7" x14ac:dyDescent="0.3">
      <c r="A825" s="34"/>
      <c r="B825" s="34"/>
      <c r="C825" s="34"/>
      <c r="D825" s="34"/>
      <c r="E825" s="34"/>
      <c r="F825" s="34"/>
      <c r="G825" s="34"/>
    </row>
    <row r="826" spans="1:7" x14ac:dyDescent="0.3">
      <c r="A826" s="34"/>
      <c r="B826" s="34"/>
      <c r="C826" s="34"/>
      <c r="D826" s="34"/>
      <c r="E826" s="34"/>
      <c r="F826" s="34"/>
      <c r="G826" s="34"/>
    </row>
    <row r="827" spans="1:7" x14ac:dyDescent="0.3">
      <c r="A827" s="34"/>
      <c r="B827" s="34"/>
      <c r="C827" s="34"/>
      <c r="D827" s="34"/>
      <c r="E827" s="34"/>
      <c r="F827" s="34"/>
      <c r="G827" s="34"/>
    </row>
    <row r="828" spans="1:7" x14ac:dyDescent="0.3">
      <c r="A828" s="34"/>
      <c r="B828" s="34"/>
      <c r="C828" s="34"/>
      <c r="D828" s="34"/>
      <c r="E828" s="34"/>
      <c r="F828" s="34"/>
      <c r="G828" s="34"/>
    </row>
    <row r="829" spans="1:7" x14ac:dyDescent="0.3">
      <c r="A829" s="34"/>
      <c r="B829" s="34"/>
      <c r="C829" s="34"/>
      <c r="D829" s="34"/>
      <c r="E829" s="34"/>
      <c r="F829" s="34"/>
      <c r="G829" s="34"/>
    </row>
    <row r="830" spans="1:7" x14ac:dyDescent="0.3">
      <c r="A830" s="34"/>
      <c r="B830" s="34"/>
      <c r="C830" s="34"/>
      <c r="D830" s="34"/>
      <c r="E830" s="34"/>
      <c r="F830" s="34"/>
      <c r="G830" s="34"/>
    </row>
    <row r="831" spans="1:7" x14ac:dyDescent="0.3">
      <c r="A831" s="34"/>
      <c r="B831" s="34"/>
      <c r="C831" s="34"/>
      <c r="D831" s="34"/>
      <c r="E831" s="34"/>
      <c r="F831" s="34"/>
      <c r="G831" s="34"/>
    </row>
    <row r="832" spans="1:7" x14ac:dyDescent="0.3">
      <c r="A832" s="34"/>
      <c r="B832" s="34"/>
      <c r="C832" s="34"/>
      <c r="D832" s="34"/>
      <c r="E832" s="34"/>
      <c r="F832" s="34"/>
      <c r="G832" s="34"/>
    </row>
    <row r="833" spans="1:7" x14ac:dyDescent="0.3">
      <c r="A833" s="34"/>
      <c r="B833" s="34"/>
      <c r="C833" s="34"/>
      <c r="D833" s="34"/>
      <c r="E833" s="34"/>
      <c r="F833" s="34"/>
      <c r="G833" s="34"/>
    </row>
    <row r="834" spans="1:7" x14ac:dyDescent="0.3">
      <c r="A834" s="34"/>
      <c r="B834" s="34"/>
      <c r="C834" s="34"/>
      <c r="D834" s="34"/>
      <c r="E834" s="34"/>
      <c r="F834" s="34"/>
      <c r="G834" s="34"/>
    </row>
    <row r="835" spans="1:7" x14ac:dyDescent="0.3">
      <c r="A835" s="34"/>
      <c r="B835" s="34"/>
      <c r="C835" s="34"/>
      <c r="D835" s="34"/>
      <c r="E835" s="34"/>
      <c r="F835" s="34"/>
      <c r="G835" s="34"/>
    </row>
    <row r="836" spans="1:7" x14ac:dyDescent="0.3">
      <c r="A836" s="34"/>
      <c r="B836" s="34"/>
      <c r="C836" s="34"/>
      <c r="D836" s="34"/>
      <c r="E836" s="34"/>
      <c r="F836" s="34"/>
      <c r="G836" s="34"/>
    </row>
    <row r="837" spans="1:7" x14ac:dyDescent="0.3">
      <c r="A837" s="34"/>
      <c r="B837" s="34"/>
      <c r="C837" s="34"/>
      <c r="D837" s="34"/>
      <c r="E837" s="34"/>
      <c r="F837" s="34"/>
      <c r="G837" s="34"/>
    </row>
    <row r="838" spans="1:7" x14ac:dyDescent="0.3">
      <c r="A838" s="34"/>
      <c r="B838" s="34"/>
      <c r="C838" s="34"/>
      <c r="D838" s="34"/>
      <c r="E838" s="34"/>
      <c r="F838" s="34"/>
      <c r="G838" s="34"/>
    </row>
    <row r="839" spans="1:7" x14ac:dyDescent="0.3">
      <c r="A839" s="34"/>
      <c r="B839" s="34"/>
      <c r="C839" s="34"/>
      <c r="D839" s="34"/>
      <c r="E839" s="34"/>
      <c r="F839" s="34"/>
      <c r="G839" s="34"/>
    </row>
    <row r="840" spans="1:7" x14ac:dyDescent="0.3">
      <c r="A840" s="34"/>
      <c r="B840" s="34"/>
      <c r="C840" s="34"/>
      <c r="D840" s="34"/>
      <c r="E840" s="34"/>
      <c r="F840" s="34"/>
      <c r="G840" s="34"/>
    </row>
    <row r="841" spans="1:7" x14ac:dyDescent="0.3">
      <c r="A841" s="34"/>
      <c r="B841" s="34"/>
      <c r="C841" s="34"/>
      <c r="D841" s="34"/>
      <c r="E841" s="34"/>
      <c r="F841" s="34"/>
      <c r="G841" s="34"/>
    </row>
    <row r="842" spans="1:7" x14ac:dyDescent="0.3">
      <c r="A842" s="34"/>
      <c r="B842" s="34"/>
      <c r="C842" s="34"/>
      <c r="D842" s="34"/>
      <c r="E842" s="34"/>
      <c r="F842" s="34"/>
      <c r="G842" s="34"/>
    </row>
    <row r="843" spans="1:7" x14ac:dyDescent="0.3">
      <c r="A843" s="34"/>
      <c r="B843" s="34"/>
      <c r="C843" s="34"/>
      <c r="D843" s="34"/>
      <c r="E843" s="34"/>
      <c r="F843" s="34"/>
      <c r="G843" s="34"/>
    </row>
    <row r="844" spans="1:7" x14ac:dyDescent="0.3">
      <c r="A844" s="34"/>
      <c r="B844" s="34"/>
      <c r="C844" s="34"/>
      <c r="D844" s="34"/>
      <c r="E844" s="34"/>
      <c r="F844" s="34"/>
      <c r="G844" s="34"/>
    </row>
    <row r="845" spans="1:7" x14ac:dyDescent="0.3">
      <c r="A845" s="34"/>
      <c r="B845" s="34"/>
      <c r="C845" s="34"/>
      <c r="D845" s="34"/>
      <c r="E845" s="34"/>
      <c r="F845" s="34"/>
      <c r="G845" s="34"/>
    </row>
    <row r="846" spans="1:7" x14ac:dyDescent="0.3">
      <c r="A846" s="34"/>
      <c r="B846" s="34"/>
      <c r="C846" s="34"/>
      <c r="D846" s="34"/>
      <c r="E846" s="34"/>
      <c r="F846" s="34"/>
      <c r="G846" s="34"/>
    </row>
    <row r="847" spans="1:7" x14ac:dyDescent="0.3">
      <c r="A847" s="34"/>
      <c r="B847" s="34"/>
      <c r="C847" s="34"/>
      <c r="D847" s="34"/>
      <c r="E847" s="34"/>
      <c r="F847" s="34"/>
      <c r="G847" s="34"/>
    </row>
    <row r="848" spans="1:7" x14ac:dyDescent="0.3">
      <c r="A848" s="34"/>
      <c r="B848" s="34"/>
      <c r="C848" s="34"/>
      <c r="D848" s="34"/>
      <c r="E848" s="34"/>
      <c r="F848" s="34"/>
      <c r="G848" s="34"/>
    </row>
    <row r="849" spans="1:7" x14ac:dyDescent="0.3">
      <c r="A849" s="34"/>
      <c r="B849" s="34"/>
      <c r="C849" s="34"/>
      <c r="D849" s="34"/>
      <c r="E849" s="34"/>
      <c r="F849" s="34"/>
      <c r="G849" s="34"/>
    </row>
    <row r="850" spans="1:7" x14ac:dyDescent="0.3">
      <c r="A850" s="34"/>
      <c r="B850" s="34"/>
      <c r="C850" s="34"/>
      <c r="D850" s="34"/>
      <c r="E850" s="34"/>
      <c r="F850" s="34"/>
      <c r="G850" s="34"/>
    </row>
    <row r="851" spans="1:7" x14ac:dyDescent="0.3">
      <c r="A851" s="34"/>
      <c r="B851" s="34"/>
      <c r="C851" s="34"/>
      <c r="D851" s="34"/>
      <c r="E851" s="34"/>
      <c r="F851" s="34"/>
      <c r="G851" s="34"/>
    </row>
    <row r="852" spans="1:7" x14ac:dyDescent="0.3">
      <c r="A852" s="34"/>
      <c r="B852" s="34"/>
      <c r="C852" s="34"/>
      <c r="D852" s="34"/>
      <c r="E852" s="34"/>
      <c r="F852" s="34"/>
      <c r="G852" s="34"/>
    </row>
    <row r="853" spans="1:7" x14ac:dyDescent="0.3">
      <c r="A853" s="34"/>
      <c r="B853" s="34"/>
      <c r="C853" s="34"/>
      <c r="D853" s="34"/>
      <c r="E853" s="34"/>
      <c r="F853" s="34"/>
      <c r="G853" s="34"/>
    </row>
    <row r="854" spans="1:7" x14ac:dyDescent="0.3">
      <c r="A854" s="34"/>
      <c r="B854" s="34"/>
      <c r="C854" s="34"/>
      <c r="D854" s="34"/>
      <c r="E854" s="34"/>
      <c r="F854" s="34"/>
      <c r="G854" s="34"/>
    </row>
    <row r="855" spans="1:7" x14ac:dyDescent="0.3">
      <c r="A855" s="34"/>
      <c r="B855" s="34"/>
      <c r="C855" s="34"/>
      <c r="D855" s="34"/>
      <c r="E855" s="34"/>
      <c r="F855" s="34"/>
      <c r="G855" s="34"/>
    </row>
    <row r="856" spans="1:7" x14ac:dyDescent="0.3">
      <c r="A856" s="34"/>
      <c r="B856" s="34"/>
      <c r="C856" s="34"/>
      <c r="D856" s="34"/>
      <c r="E856" s="34"/>
      <c r="F856" s="34"/>
      <c r="G856" s="34"/>
    </row>
    <row r="857" spans="1:7" x14ac:dyDescent="0.3">
      <c r="A857" s="34"/>
      <c r="B857" s="34"/>
      <c r="C857" s="34"/>
      <c r="D857" s="34"/>
      <c r="E857" s="34"/>
      <c r="F857" s="34"/>
      <c r="G857" s="34"/>
    </row>
    <row r="858" spans="1:7" x14ac:dyDescent="0.3">
      <c r="A858" s="34"/>
      <c r="B858" s="34"/>
      <c r="C858" s="34"/>
      <c r="D858" s="34"/>
      <c r="E858" s="34"/>
      <c r="F858" s="34"/>
      <c r="G858" s="34"/>
    </row>
    <row r="859" spans="1:7" x14ac:dyDescent="0.3">
      <c r="A859" s="34"/>
      <c r="B859" s="34"/>
      <c r="C859" s="34"/>
      <c r="D859" s="34"/>
      <c r="E859" s="34"/>
      <c r="F859" s="34"/>
      <c r="G859" s="34"/>
    </row>
    <row r="860" spans="1:7" x14ac:dyDescent="0.3">
      <c r="A860" s="34"/>
      <c r="B860" s="34"/>
      <c r="C860" s="34"/>
      <c r="D860" s="34"/>
      <c r="E860" s="34"/>
      <c r="F860" s="34"/>
      <c r="G860" s="34"/>
    </row>
    <row r="861" spans="1:7" x14ac:dyDescent="0.3">
      <c r="A861" s="34"/>
      <c r="B861" s="34"/>
      <c r="C861" s="34"/>
      <c r="D861" s="34"/>
      <c r="E861" s="34"/>
      <c r="F861" s="34"/>
      <c r="G861" s="34"/>
    </row>
    <row r="862" spans="1:7" x14ac:dyDescent="0.3">
      <c r="A862" s="34"/>
      <c r="B862" s="34"/>
      <c r="C862" s="34"/>
      <c r="D862" s="34"/>
      <c r="E862" s="34"/>
      <c r="F862" s="34"/>
      <c r="G862" s="34"/>
    </row>
    <row r="863" spans="1:7" x14ac:dyDescent="0.3">
      <c r="A863" s="34"/>
      <c r="B863" s="34"/>
      <c r="C863" s="34"/>
      <c r="D863" s="34"/>
      <c r="E863" s="34"/>
      <c r="F863" s="34"/>
      <c r="G863" s="34"/>
    </row>
    <row r="864" spans="1:7" x14ac:dyDescent="0.3">
      <c r="A864" s="34"/>
      <c r="B864" s="34"/>
      <c r="C864" s="34"/>
      <c r="D864" s="34"/>
      <c r="E864" s="34"/>
      <c r="F864" s="34"/>
      <c r="G864" s="34"/>
    </row>
    <row r="865" spans="1:7" x14ac:dyDescent="0.3">
      <c r="A865" s="34"/>
      <c r="B865" s="34"/>
      <c r="C865" s="34"/>
      <c r="D865" s="34"/>
      <c r="E865" s="34"/>
      <c r="F865" s="34"/>
      <c r="G865" s="34"/>
    </row>
    <row r="866" spans="1:7" x14ac:dyDescent="0.3">
      <c r="A866" s="34"/>
      <c r="B866" s="34"/>
      <c r="C866" s="34"/>
      <c r="D866" s="34"/>
      <c r="E866" s="34"/>
      <c r="F866" s="34"/>
      <c r="G866" s="34"/>
    </row>
    <row r="867" spans="1:7" x14ac:dyDescent="0.3">
      <c r="A867" s="34"/>
      <c r="B867" s="34"/>
      <c r="C867" s="34"/>
      <c r="D867" s="34"/>
      <c r="E867" s="34"/>
      <c r="F867" s="34"/>
      <c r="G867" s="34"/>
    </row>
    <row r="868" spans="1:7" x14ac:dyDescent="0.3">
      <c r="A868" s="34"/>
      <c r="B868" s="34"/>
      <c r="C868" s="34"/>
      <c r="D868" s="34"/>
      <c r="E868" s="34"/>
      <c r="F868" s="34"/>
      <c r="G868" s="34"/>
    </row>
    <row r="869" spans="1:7" x14ac:dyDescent="0.3">
      <c r="A869" s="34"/>
      <c r="B869" s="34"/>
      <c r="C869" s="34"/>
      <c r="D869" s="34"/>
      <c r="E869" s="34"/>
      <c r="F869" s="34"/>
      <c r="G869" s="34"/>
    </row>
    <row r="870" spans="1:7" x14ac:dyDescent="0.3">
      <c r="A870" s="34"/>
      <c r="B870" s="34"/>
      <c r="C870" s="34"/>
      <c r="D870" s="34"/>
      <c r="E870" s="34"/>
      <c r="F870" s="34"/>
      <c r="G870" s="34"/>
    </row>
    <row r="871" spans="1:7" x14ac:dyDescent="0.3">
      <c r="A871" s="34"/>
      <c r="B871" s="34"/>
      <c r="C871" s="34"/>
      <c r="D871" s="34"/>
      <c r="E871" s="34"/>
      <c r="F871" s="34"/>
      <c r="G871" s="34"/>
    </row>
    <row r="872" spans="1:7" x14ac:dyDescent="0.3">
      <c r="A872" s="34"/>
      <c r="B872" s="34"/>
      <c r="C872" s="34"/>
      <c r="D872" s="34"/>
      <c r="E872" s="34"/>
      <c r="F872" s="34"/>
      <c r="G872" s="34"/>
    </row>
    <row r="873" spans="1:7" x14ac:dyDescent="0.3">
      <c r="A873" s="34"/>
      <c r="B873" s="34"/>
      <c r="C873" s="34"/>
      <c r="D873" s="34"/>
      <c r="E873" s="34"/>
      <c r="F873" s="34"/>
      <c r="G873" s="34"/>
    </row>
    <row r="874" spans="1:7" x14ac:dyDescent="0.3">
      <c r="A874" s="34"/>
      <c r="B874" s="34"/>
      <c r="C874" s="34"/>
      <c r="D874" s="34"/>
      <c r="E874" s="34"/>
      <c r="F874" s="34"/>
      <c r="G874" s="34"/>
    </row>
    <row r="875" spans="1:7" x14ac:dyDescent="0.3">
      <c r="A875" s="34"/>
      <c r="B875" s="34"/>
      <c r="C875" s="34"/>
      <c r="D875" s="34"/>
      <c r="E875" s="34"/>
      <c r="F875" s="34"/>
      <c r="G875" s="34"/>
    </row>
    <row r="876" spans="1:7" x14ac:dyDescent="0.3">
      <c r="A876" s="34"/>
      <c r="B876" s="34"/>
      <c r="C876" s="34"/>
      <c r="D876" s="34"/>
      <c r="E876" s="34"/>
      <c r="F876" s="34"/>
      <c r="G876" s="34"/>
    </row>
    <row r="877" spans="1:7" x14ac:dyDescent="0.3">
      <c r="A877" s="34"/>
      <c r="B877" s="34"/>
      <c r="C877" s="34"/>
      <c r="D877" s="34"/>
      <c r="E877" s="34"/>
      <c r="F877" s="34"/>
      <c r="G877" s="34"/>
    </row>
    <row r="878" spans="1:7" x14ac:dyDescent="0.3">
      <c r="A878" s="34"/>
      <c r="B878" s="34"/>
      <c r="C878" s="34"/>
      <c r="D878" s="34"/>
      <c r="E878" s="34"/>
      <c r="F878" s="34"/>
      <c r="G878" s="34"/>
    </row>
    <row r="879" spans="1:7" x14ac:dyDescent="0.3">
      <c r="A879" s="34"/>
      <c r="B879" s="34"/>
      <c r="C879" s="34"/>
      <c r="D879" s="34"/>
      <c r="E879" s="34"/>
      <c r="F879" s="34"/>
      <c r="G879" s="34"/>
    </row>
    <row r="880" spans="1:7" x14ac:dyDescent="0.3">
      <c r="A880" s="34"/>
      <c r="B880" s="34"/>
      <c r="C880" s="34"/>
      <c r="D880" s="34"/>
      <c r="E880" s="34"/>
      <c r="F880" s="34"/>
      <c r="G880" s="34"/>
    </row>
    <row r="881" spans="1:7" x14ac:dyDescent="0.3">
      <c r="A881" s="34"/>
      <c r="B881" s="34"/>
      <c r="C881" s="34"/>
      <c r="D881" s="34"/>
      <c r="E881" s="34"/>
      <c r="F881" s="34"/>
      <c r="G881" s="34"/>
    </row>
    <row r="882" spans="1:7" x14ac:dyDescent="0.3">
      <c r="A882" s="34"/>
      <c r="B882" s="34"/>
      <c r="C882" s="34"/>
      <c r="D882" s="34"/>
      <c r="E882" s="34"/>
      <c r="F882" s="34"/>
      <c r="G882" s="34"/>
    </row>
    <row r="883" spans="1:7" x14ac:dyDescent="0.3">
      <c r="A883" s="34"/>
      <c r="B883" s="34"/>
      <c r="C883" s="34"/>
      <c r="D883" s="34"/>
      <c r="E883" s="34"/>
      <c r="F883" s="34"/>
      <c r="G883" s="34"/>
    </row>
    <row r="884" spans="1:7" x14ac:dyDescent="0.3">
      <c r="A884" s="34"/>
      <c r="B884" s="34"/>
      <c r="C884" s="34"/>
      <c r="D884" s="34"/>
      <c r="E884" s="34"/>
      <c r="F884" s="34"/>
      <c r="G884" s="34"/>
    </row>
    <row r="885" spans="1:7" x14ac:dyDescent="0.3">
      <c r="A885" s="34"/>
      <c r="B885" s="34"/>
      <c r="C885" s="34"/>
      <c r="D885" s="34"/>
      <c r="E885" s="34"/>
      <c r="F885" s="34"/>
      <c r="G885" s="34"/>
    </row>
    <row r="886" spans="1:7" x14ac:dyDescent="0.3">
      <c r="A886" s="34"/>
      <c r="B886" s="34"/>
      <c r="C886" s="34"/>
      <c r="D886" s="34"/>
      <c r="E886" s="34"/>
      <c r="F886" s="34"/>
      <c r="G886" s="34"/>
    </row>
    <row r="887" spans="1:7" x14ac:dyDescent="0.3">
      <c r="A887" s="34"/>
      <c r="B887" s="34"/>
      <c r="C887" s="34"/>
      <c r="D887" s="34"/>
      <c r="E887" s="34"/>
      <c r="F887" s="34"/>
      <c r="G887" s="34"/>
    </row>
    <row r="888" spans="1:7" x14ac:dyDescent="0.3">
      <c r="A888" s="34"/>
      <c r="B888" s="34"/>
      <c r="C888" s="34"/>
      <c r="D888" s="34"/>
      <c r="E888" s="34"/>
      <c r="F888" s="34"/>
      <c r="G888" s="34"/>
    </row>
    <row r="889" spans="1:7" x14ac:dyDescent="0.3">
      <c r="A889" s="34"/>
      <c r="B889" s="34"/>
      <c r="C889" s="34"/>
      <c r="D889" s="34"/>
      <c r="E889" s="34"/>
      <c r="F889" s="34"/>
      <c r="G889" s="34"/>
    </row>
    <row r="890" spans="1:7" x14ac:dyDescent="0.3">
      <c r="A890" s="34"/>
      <c r="B890" s="34"/>
      <c r="C890" s="34"/>
      <c r="D890" s="34"/>
      <c r="E890" s="34"/>
      <c r="F890" s="34"/>
      <c r="G890" s="34"/>
    </row>
    <row r="891" spans="1:7" x14ac:dyDescent="0.3">
      <c r="A891" s="34"/>
      <c r="B891" s="34"/>
      <c r="C891" s="34"/>
      <c r="D891" s="34"/>
      <c r="E891" s="34"/>
      <c r="F891" s="34"/>
      <c r="G891" s="34"/>
    </row>
    <row r="892" spans="1:7" x14ac:dyDescent="0.3">
      <c r="A892" s="34"/>
      <c r="B892" s="34"/>
      <c r="C892" s="34"/>
      <c r="D892" s="34"/>
      <c r="E892" s="34"/>
      <c r="F892" s="34"/>
      <c r="G892" s="34"/>
    </row>
    <row r="893" spans="1:7" x14ac:dyDescent="0.3">
      <c r="A893" s="34"/>
      <c r="B893" s="34"/>
      <c r="C893" s="34"/>
      <c r="D893" s="34"/>
      <c r="E893" s="34"/>
      <c r="F893" s="34"/>
      <c r="G893" s="34"/>
    </row>
    <row r="894" spans="1:7" x14ac:dyDescent="0.3">
      <c r="A894" s="34"/>
      <c r="B894" s="34"/>
      <c r="C894" s="34"/>
      <c r="D894" s="34"/>
      <c r="E894" s="34"/>
      <c r="F894" s="34"/>
      <c r="G894" s="34"/>
    </row>
    <row r="895" spans="1:7" x14ac:dyDescent="0.3">
      <c r="A895" s="34"/>
      <c r="B895" s="34"/>
      <c r="C895" s="34"/>
      <c r="D895" s="34"/>
      <c r="E895" s="34"/>
      <c r="F895" s="34"/>
      <c r="G895" s="34"/>
    </row>
    <row r="896" spans="1:7" x14ac:dyDescent="0.3">
      <c r="A896" s="34"/>
      <c r="B896" s="34"/>
      <c r="C896" s="34"/>
      <c r="D896" s="34"/>
      <c r="E896" s="34"/>
      <c r="F896" s="34"/>
      <c r="G896" s="34"/>
    </row>
    <row r="897" spans="1:7" x14ac:dyDescent="0.3">
      <c r="A897" s="34"/>
      <c r="B897" s="34"/>
      <c r="C897" s="34"/>
      <c r="D897" s="34"/>
      <c r="E897" s="34"/>
      <c r="F897" s="34"/>
      <c r="G897" s="34"/>
    </row>
    <row r="898" spans="1:7" x14ac:dyDescent="0.3">
      <c r="A898" s="34"/>
      <c r="B898" s="34"/>
      <c r="C898" s="34"/>
      <c r="D898" s="34"/>
      <c r="E898" s="34"/>
      <c r="F898" s="34"/>
      <c r="G898" s="34"/>
    </row>
    <row r="899" spans="1:7" x14ac:dyDescent="0.3">
      <c r="A899" s="34"/>
      <c r="B899" s="34"/>
      <c r="C899" s="34"/>
      <c r="D899" s="34"/>
      <c r="E899" s="34"/>
      <c r="F899" s="34"/>
      <c r="G899" s="34"/>
    </row>
    <row r="900" spans="1:7" x14ac:dyDescent="0.3">
      <c r="A900" s="34"/>
      <c r="B900" s="34"/>
      <c r="C900" s="34"/>
      <c r="D900" s="34"/>
      <c r="E900" s="34"/>
      <c r="F900" s="34"/>
      <c r="G900" s="34"/>
    </row>
    <row r="901" spans="1:7" x14ac:dyDescent="0.3">
      <c r="A901" s="34"/>
      <c r="B901" s="34"/>
      <c r="C901" s="34"/>
      <c r="D901" s="34"/>
      <c r="E901" s="34"/>
      <c r="F901" s="34"/>
      <c r="G901" s="34"/>
    </row>
    <row r="902" spans="1:7" x14ac:dyDescent="0.3">
      <c r="A902" s="34"/>
      <c r="B902" s="34"/>
      <c r="C902" s="34"/>
      <c r="D902" s="34"/>
      <c r="E902" s="34"/>
      <c r="F902" s="34"/>
      <c r="G902" s="34"/>
    </row>
    <row r="903" spans="1:7" x14ac:dyDescent="0.3">
      <c r="A903" s="34"/>
      <c r="B903" s="34"/>
      <c r="C903" s="34"/>
      <c r="D903" s="34"/>
      <c r="E903" s="34"/>
      <c r="F903" s="34"/>
      <c r="G903" s="34"/>
    </row>
    <row r="904" spans="1:7" x14ac:dyDescent="0.3">
      <c r="A904" s="34"/>
      <c r="B904" s="34"/>
      <c r="C904" s="34"/>
      <c r="D904" s="34"/>
      <c r="E904" s="34"/>
      <c r="F904" s="34"/>
      <c r="G904" s="34"/>
    </row>
    <row r="905" spans="1:7" x14ac:dyDescent="0.3">
      <c r="A905" s="34"/>
      <c r="B905" s="34"/>
      <c r="C905" s="34"/>
      <c r="D905" s="34"/>
      <c r="E905" s="34"/>
      <c r="F905" s="34"/>
      <c r="G905" s="34"/>
    </row>
    <row r="906" spans="1:7" x14ac:dyDescent="0.3">
      <c r="A906" s="34"/>
      <c r="B906" s="34"/>
      <c r="C906" s="34"/>
      <c r="D906" s="34"/>
      <c r="E906" s="34"/>
      <c r="F906" s="34"/>
      <c r="G906" s="34"/>
    </row>
    <row r="907" spans="1:7" x14ac:dyDescent="0.3">
      <c r="A907" s="34"/>
      <c r="B907" s="34"/>
      <c r="C907" s="34"/>
      <c r="D907" s="34"/>
      <c r="E907" s="34"/>
      <c r="F907" s="34"/>
      <c r="G907" s="34"/>
    </row>
    <row r="908" spans="1:7" x14ac:dyDescent="0.3">
      <c r="A908" s="34"/>
      <c r="B908" s="34"/>
      <c r="C908" s="34"/>
      <c r="D908" s="34"/>
      <c r="E908" s="34"/>
      <c r="F908" s="34"/>
      <c r="G908" s="34"/>
    </row>
    <row r="909" spans="1:7" x14ac:dyDescent="0.3">
      <c r="A909" s="34"/>
      <c r="B909" s="34"/>
      <c r="C909" s="34"/>
      <c r="D909" s="34"/>
      <c r="E909" s="34"/>
      <c r="F909" s="34"/>
      <c r="G909" s="34"/>
    </row>
    <row r="910" spans="1:7" x14ac:dyDescent="0.3">
      <c r="A910" s="34"/>
      <c r="B910" s="34"/>
      <c r="C910" s="34"/>
      <c r="D910" s="34"/>
      <c r="E910" s="34"/>
      <c r="F910" s="34"/>
      <c r="G910" s="34"/>
    </row>
    <row r="911" spans="1:7" x14ac:dyDescent="0.3">
      <c r="A911" s="34"/>
      <c r="B911" s="34"/>
      <c r="C911" s="34"/>
      <c r="D911" s="34"/>
      <c r="E911" s="34"/>
      <c r="F911" s="34"/>
      <c r="G911" s="34"/>
    </row>
    <row r="912" spans="1:7" x14ac:dyDescent="0.3">
      <c r="A912" s="34"/>
      <c r="B912" s="34"/>
      <c r="C912" s="34"/>
      <c r="D912" s="34"/>
      <c r="E912" s="34"/>
      <c r="F912" s="34"/>
      <c r="G912" s="34"/>
    </row>
    <row r="913" spans="1:7" x14ac:dyDescent="0.3">
      <c r="A913" s="34"/>
      <c r="B913" s="34"/>
      <c r="C913" s="34"/>
      <c r="D913" s="34"/>
      <c r="E913" s="34"/>
      <c r="F913" s="34"/>
      <c r="G913" s="34"/>
    </row>
    <row r="914" spans="1:7" x14ac:dyDescent="0.3">
      <c r="A914" s="34"/>
      <c r="B914" s="34"/>
      <c r="C914" s="34"/>
      <c r="D914" s="34"/>
      <c r="E914" s="34"/>
      <c r="F914" s="34"/>
      <c r="G914" s="34"/>
    </row>
    <row r="915" spans="1:7" x14ac:dyDescent="0.3">
      <c r="A915" s="34"/>
      <c r="B915" s="34"/>
      <c r="C915" s="34"/>
      <c r="D915" s="34"/>
      <c r="E915" s="34"/>
      <c r="F915" s="34"/>
      <c r="G915" s="34"/>
    </row>
    <row r="916" spans="1:7" x14ac:dyDescent="0.3">
      <c r="A916" s="34"/>
      <c r="B916" s="34"/>
      <c r="C916" s="34"/>
      <c r="D916" s="34"/>
      <c r="E916" s="34"/>
      <c r="F916" s="34"/>
      <c r="G916" s="34"/>
    </row>
    <row r="917" spans="1:7" x14ac:dyDescent="0.3">
      <c r="A917" s="34"/>
      <c r="B917" s="34"/>
      <c r="C917" s="34"/>
      <c r="D917" s="34"/>
      <c r="E917" s="34"/>
      <c r="F917" s="34"/>
      <c r="G917" s="34"/>
    </row>
    <row r="918" spans="1:7" x14ac:dyDescent="0.3">
      <c r="A918" s="34"/>
      <c r="B918" s="34"/>
      <c r="C918" s="34"/>
      <c r="D918" s="34"/>
      <c r="E918" s="34"/>
      <c r="F918" s="34"/>
      <c r="G918" s="34"/>
    </row>
    <row r="919" spans="1:7" x14ac:dyDescent="0.3">
      <c r="A919" s="34"/>
      <c r="B919" s="34"/>
      <c r="C919" s="34"/>
      <c r="D919" s="34"/>
      <c r="E919" s="34"/>
      <c r="F919" s="34"/>
      <c r="G919" s="34"/>
    </row>
    <row r="920" spans="1:7" x14ac:dyDescent="0.3">
      <c r="A920" s="34"/>
      <c r="B920" s="34"/>
      <c r="C920" s="34"/>
      <c r="D920" s="34"/>
      <c r="E920" s="34"/>
      <c r="F920" s="34"/>
      <c r="G920" s="34"/>
    </row>
    <row r="921" spans="1:7" x14ac:dyDescent="0.3">
      <c r="A921" s="34"/>
      <c r="B921" s="34"/>
      <c r="C921" s="34"/>
      <c r="D921" s="34"/>
      <c r="E921" s="34"/>
      <c r="F921" s="34"/>
      <c r="G921" s="34"/>
    </row>
    <row r="922" spans="1:7" x14ac:dyDescent="0.3">
      <c r="A922" s="34"/>
      <c r="B922" s="34"/>
      <c r="C922" s="34"/>
      <c r="D922" s="34"/>
      <c r="E922" s="34"/>
      <c r="F922" s="34"/>
      <c r="G922" s="34"/>
    </row>
    <row r="923" spans="1:7" x14ac:dyDescent="0.3">
      <c r="A923" s="34"/>
      <c r="B923" s="34"/>
      <c r="C923" s="34"/>
      <c r="D923" s="34"/>
      <c r="E923" s="34"/>
      <c r="F923" s="34"/>
      <c r="G923" s="34"/>
    </row>
    <row r="924" spans="1:7" x14ac:dyDescent="0.3">
      <c r="A924" s="34"/>
      <c r="B924" s="34"/>
      <c r="C924" s="34"/>
      <c r="D924" s="34"/>
      <c r="E924" s="34"/>
      <c r="F924" s="34"/>
      <c r="G924" s="34"/>
    </row>
    <row r="925" spans="1:7" x14ac:dyDescent="0.3">
      <c r="A925" s="34"/>
      <c r="B925" s="34"/>
      <c r="C925" s="34"/>
      <c r="D925" s="34"/>
      <c r="E925" s="34"/>
      <c r="F925" s="34"/>
      <c r="G925" s="34"/>
    </row>
    <row r="926" spans="1:7" x14ac:dyDescent="0.3">
      <c r="A926" s="34"/>
      <c r="B926" s="34"/>
      <c r="C926" s="34"/>
      <c r="D926" s="34"/>
      <c r="E926" s="34"/>
      <c r="F926" s="34"/>
      <c r="G926" s="34"/>
    </row>
    <row r="927" spans="1:7" x14ac:dyDescent="0.3">
      <c r="A927" s="34"/>
      <c r="B927" s="34"/>
      <c r="C927" s="34"/>
      <c r="D927" s="34"/>
      <c r="E927" s="34"/>
      <c r="F927" s="34"/>
      <c r="G927" s="34"/>
    </row>
    <row r="928" spans="1:7" x14ac:dyDescent="0.3">
      <c r="A928" s="34"/>
      <c r="B928" s="34"/>
      <c r="C928" s="34"/>
      <c r="D928" s="34"/>
      <c r="E928" s="34"/>
      <c r="F928" s="34"/>
      <c r="G928" s="34"/>
    </row>
    <row r="929" spans="1:7" x14ac:dyDescent="0.3">
      <c r="A929" s="34"/>
      <c r="B929" s="34"/>
      <c r="C929" s="34"/>
      <c r="D929" s="34"/>
      <c r="E929" s="34"/>
      <c r="F929" s="34"/>
      <c r="G929" s="34"/>
    </row>
    <row r="930" spans="1:7" x14ac:dyDescent="0.3">
      <c r="A930" s="34"/>
      <c r="B930" s="34"/>
      <c r="C930" s="34"/>
      <c r="D930" s="34"/>
      <c r="E930" s="34"/>
      <c r="F930" s="34"/>
      <c r="G930" s="34"/>
    </row>
    <row r="931" spans="1:7" x14ac:dyDescent="0.3">
      <c r="A931" s="34"/>
      <c r="B931" s="34"/>
      <c r="C931" s="34"/>
      <c r="D931" s="34"/>
      <c r="E931" s="34"/>
      <c r="F931" s="34"/>
      <c r="G931" s="34"/>
    </row>
    <row r="932" spans="1:7" x14ac:dyDescent="0.3">
      <c r="A932" s="34"/>
      <c r="B932" s="34"/>
      <c r="C932" s="34"/>
      <c r="D932" s="34"/>
      <c r="E932" s="34"/>
      <c r="F932" s="34"/>
      <c r="G932" s="34"/>
    </row>
    <row r="933" spans="1:7" x14ac:dyDescent="0.3">
      <c r="A933" s="34"/>
      <c r="B933" s="34"/>
      <c r="C933" s="34"/>
      <c r="D933" s="34"/>
      <c r="E933" s="34"/>
      <c r="F933" s="34"/>
      <c r="G933" s="34"/>
    </row>
    <row r="934" spans="1:7" x14ac:dyDescent="0.3">
      <c r="A934" s="34"/>
      <c r="B934" s="34"/>
      <c r="C934" s="34"/>
      <c r="D934" s="34"/>
      <c r="E934" s="34"/>
      <c r="F934" s="34"/>
      <c r="G934" s="34"/>
    </row>
    <row r="935" spans="1:7" x14ac:dyDescent="0.3">
      <c r="A935" s="34"/>
      <c r="B935" s="34"/>
      <c r="C935" s="34"/>
      <c r="D935" s="34"/>
      <c r="E935" s="34"/>
      <c r="F935" s="34"/>
      <c r="G935" s="34"/>
    </row>
    <row r="936" spans="1:7" x14ac:dyDescent="0.3">
      <c r="A936" s="34"/>
      <c r="B936" s="34"/>
      <c r="C936" s="34"/>
      <c r="D936" s="34"/>
      <c r="E936" s="34"/>
      <c r="F936" s="34"/>
      <c r="G936" s="34"/>
    </row>
    <row r="937" spans="1:7" x14ac:dyDescent="0.3">
      <c r="A937" s="34"/>
      <c r="B937" s="34"/>
      <c r="C937" s="34"/>
      <c r="D937" s="34"/>
      <c r="E937" s="34"/>
      <c r="F937" s="34"/>
      <c r="G937" s="34"/>
    </row>
    <row r="938" spans="1:7" x14ac:dyDescent="0.3">
      <c r="A938" s="34"/>
      <c r="B938" s="34"/>
      <c r="C938" s="34"/>
      <c r="D938" s="34"/>
      <c r="E938" s="34"/>
      <c r="F938" s="34"/>
      <c r="G938" s="34"/>
    </row>
    <row r="939" spans="1:7" x14ac:dyDescent="0.3">
      <c r="A939" s="34"/>
      <c r="B939" s="34"/>
      <c r="C939" s="34"/>
      <c r="D939" s="34"/>
      <c r="E939" s="34"/>
      <c r="F939" s="34"/>
      <c r="G939" s="34"/>
    </row>
    <row r="940" spans="1:7" x14ac:dyDescent="0.3">
      <c r="A940" s="34"/>
      <c r="B940" s="34"/>
      <c r="C940" s="34"/>
      <c r="D940" s="34"/>
      <c r="E940" s="34"/>
      <c r="F940" s="34"/>
      <c r="G940" s="34"/>
    </row>
    <row r="941" spans="1:7" x14ac:dyDescent="0.3">
      <c r="A941" s="34"/>
      <c r="B941" s="34"/>
      <c r="C941" s="34"/>
      <c r="D941" s="34"/>
      <c r="E941" s="34"/>
      <c r="F941" s="34"/>
      <c r="G941" s="34"/>
    </row>
    <row r="942" spans="1:7" x14ac:dyDescent="0.3">
      <c r="A942" s="34"/>
      <c r="B942" s="34"/>
      <c r="C942" s="34"/>
      <c r="D942" s="34"/>
      <c r="E942" s="34"/>
      <c r="F942" s="34"/>
      <c r="G942" s="34"/>
    </row>
    <row r="943" spans="1:7" x14ac:dyDescent="0.3">
      <c r="A943" s="34"/>
      <c r="B943" s="34"/>
      <c r="C943" s="34"/>
      <c r="D943" s="34"/>
      <c r="E943" s="34"/>
      <c r="F943" s="34"/>
      <c r="G943" s="34"/>
    </row>
    <row r="944" spans="1:7" x14ac:dyDescent="0.3">
      <c r="A944" s="34"/>
      <c r="B944" s="34"/>
      <c r="C944" s="34"/>
      <c r="D944" s="34"/>
      <c r="E944" s="34"/>
      <c r="F944" s="34"/>
      <c r="G944" s="34"/>
    </row>
    <row r="945" spans="1:7" x14ac:dyDescent="0.3">
      <c r="A945" s="34"/>
      <c r="B945" s="34"/>
      <c r="C945" s="34"/>
      <c r="D945" s="34"/>
      <c r="E945" s="34"/>
      <c r="F945" s="34"/>
      <c r="G945" s="34"/>
    </row>
    <row r="946" spans="1:7" x14ac:dyDescent="0.3">
      <c r="A946" s="34"/>
      <c r="B946" s="34"/>
      <c r="C946" s="34"/>
      <c r="D946" s="34"/>
      <c r="E946" s="34"/>
      <c r="F946" s="34"/>
      <c r="G946" s="34"/>
    </row>
    <row r="947" spans="1:7" x14ac:dyDescent="0.3">
      <c r="A947" s="34"/>
      <c r="B947" s="34"/>
      <c r="C947" s="34"/>
      <c r="D947" s="34"/>
      <c r="E947" s="34"/>
      <c r="F947" s="34"/>
      <c r="G947" s="34"/>
    </row>
    <row r="948" spans="1:7" x14ac:dyDescent="0.3">
      <c r="A948" s="34"/>
      <c r="B948" s="34"/>
      <c r="C948" s="34"/>
      <c r="D948" s="34"/>
      <c r="E948" s="34"/>
      <c r="F948" s="34"/>
      <c r="G948" s="34"/>
    </row>
    <row r="949" spans="1:7" x14ac:dyDescent="0.3">
      <c r="A949" s="34"/>
      <c r="B949" s="34"/>
      <c r="C949" s="34"/>
      <c r="D949" s="34"/>
      <c r="E949" s="34"/>
      <c r="F949" s="34"/>
      <c r="G949" s="34"/>
    </row>
    <row r="950" spans="1:7" x14ac:dyDescent="0.3">
      <c r="A950" s="34"/>
      <c r="B950" s="34"/>
      <c r="C950" s="34"/>
      <c r="D950" s="34"/>
      <c r="E950" s="34"/>
      <c r="F950" s="34"/>
      <c r="G950" s="34"/>
    </row>
    <row r="951" spans="1:7" x14ac:dyDescent="0.3">
      <c r="A951" s="34"/>
      <c r="B951" s="34"/>
      <c r="C951" s="34"/>
      <c r="D951" s="34"/>
      <c r="E951" s="34"/>
      <c r="F951" s="34"/>
      <c r="G951" s="34"/>
    </row>
    <row r="952" spans="1:7" x14ac:dyDescent="0.3">
      <c r="A952" s="34"/>
      <c r="B952" s="34"/>
      <c r="C952" s="34"/>
      <c r="D952" s="34"/>
      <c r="E952" s="34"/>
      <c r="F952" s="34"/>
      <c r="G952" s="34"/>
    </row>
    <row r="953" spans="1:7" x14ac:dyDescent="0.3">
      <c r="A953" s="34"/>
      <c r="B953" s="34"/>
      <c r="C953" s="34"/>
      <c r="D953" s="34"/>
      <c r="E953" s="34"/>
      <c r="F953" s="34"/>
      <c r="G953" s="34"/>
    </row>
    <row r="954" spans="1:7" x14ac:dyDescent="0.3">
      <c r="A954" s="34"/>
      <c r="B954" s="34"/>
      <c r="C954" s="34"/>
      <c r="D954" s="34"/>
      <c r="E954" s="34"/>
      <c r="F954" s="34"/>
      <c r="G954" s="34"/>
    </row>
    <row r="955" spans="1:7" x14ac:dyDescent="0.3">
      <c r="A955" s="34"/>
      <c r="B955" s="34"/>
      <c r="C955" s="34"/>
      <c r="D955" s="34"/>
      <c r="E955" s="34"/>
      <c r="F955" s="34"/>
      <c r="G955" s="34"/>
    </row>
    <row r="956" spans="1:7" x14ac:dyDescent="0.3">
      <c r="A956" s="34"/>
      <c r="B956" s="34"/>
      <c r="C956" s="34"/>
      <c r="D956" s="34"/>
      <c r="E956" s="34"/>
      <c r="F956" s="34"/>
      <c r="G956" s="34"/>
    </row>
    <row r="957" spans="1:7" x14ac:dyDescent="0.3">
      <c r="A957" s="34"/>
      <c r="B957" s="34"/>
      <c r="C957" s="34"/>
      <c r="D957" s="34"/>
      <c r="E957" s="34"/>
      <c r="F957" s="34"/>
      <c r="G957" s="34"/>
    </row>
    <row r="958" spans="1:7" x14ac:dyDescent="0.3">
      <c r="A958" s="34"/>
      <c r="B958" s="34"/>
      <c r="C958" s="34"/>
      <c r="D958" s="34"/>
      <c r="E958" s="34"/>
      <c r="F958" s="34"/>
      <c r="G958" s="34"/>
    </row>
    <row r="959" spans="1:7" x14ac:dyDescent="0.3">
      <c r="A959" s="34"/>
      <c r="B959" s="34"/>
      <c r="C959" s="34"/>
      <c r="D959" s="34"/>
      <c r="E959" s="34"/>
      <c r="F959" s="34"/>
      <c r="G959" s="34"/>
    </row>
    <row r="960" spans="1:7" x14ac:dyDescent="0.3">
      <c r="A960" s="34"/>
      <c r="B960" s="34"/>
      <c r="C960" s="34"/>
      <c r="D960" s="34"/>
      <c r="E960" s="34"/>
      <c r="F960" s="34"/>
      <c r="G960" s="34"/>
    </row>
    <row r="961" spans="1:7" x14ac:dyDescent="0.3">
      <c r="A961" s="34"/>
      <c r="B961" s="34"/>
      <c r="C961" s="34"/>
      <c r="D961" s="34"/>
      <c r="E961" s="34"/>
      <c r="F961" s="34"/>
      <c r="G961" s="34"/>
    </row>
    <row r="962" spans="1:7" x14ac:dyDescent="0.3">
      <c r="A962" s="34"/>
      <c r="B962" s="34"/>
      <c r="C962" s="34"/>
      <c r="D962" s="34"/>
      <c r="E962" s="34"/>
      <c r="F962" s="34"/>
      <c r="G962" s="34"/>
    </row>
    <row r="963" spans="1:7" x14ac:dyDescent="0.3">
      <c r="A963" s="34"/>
      <c r="B963" s="34"/>
      <c r="C963" s="34"/>
      <c r="D963" s="34"/>
      <c r="E963" s="34"/>
      <c r="F963" s="34"/>
      <c r="G963" s="34"/>
    </row>
    <row r="964" spans="1:7" x14ac:dyDescent="0.3">
      <c r="A964" s="34"/>
      <c r="B964" s="34"/>
      <c r="C964" s="34"/>
      <c r="D964" s="34"/>
      <c r="E964" s="34"/>
      <c r="F964" s="34"/>
      <c r="G964" s="34"/>
    </row>
    <row r="965" spans="1:7" x14ac:dyDescent="0.3">
      <c r="A965" s="34"/>
      <c r="B965" s="34"/>
      <c r="C965" s="34"/>
      <c r="D965" s="34"/>
      <c r="E965" s="34"/>
      <c r="F965" s="34"/>
      <c r="G965" s="34"/>
    </row>
    <row r="966" spans="1:7" x14ac:dyDescent="0.3">
      <c r="A966" s="34"/>
      <c r="B966" s="34"/>
      <c r="C966" s="34"/>
      <c r="D966" s="34"/>
      <c r="E966" s="34"/>
      <c r="F966" s="34"/>
      <c r="G966" s="34"/>
    </row>
    <row r="967" spans="1:7" x14ac:dyDescent="0.3">
      <c r="A967" s="34"/>
      <c r="B967" s="34"/>
      <c r="C967" s="34"/>
      <c r="D967" s="34"/>
      <c r="E967" s="34"/>
      <c r="F967" s="34"/>
      <c r="G967" s="34"/>
    </row>
    <row r="968" spans="1:7" x14ac:dyDescent="0.3">
      <c r="A968" s="34"/>
      <c r="B968" s="34"/>
      <c r="C968" s="34"/>
      <c r="D968" s="34"/>
      <c r="E968" s="34"/>
      <c r="F968" s="34"/>
      <c r="G968" s="34"/>
    </row>
    <row r="969" spans="1:7" x14ac:dyDescent="0.3">
      <c r="A969" s="34"/>
      <c r="B969" s="34"/>
      <c r="C969" s="34"/>
      <c r="D969" s="34"/>
      <c r="E969" s="34"/>
      <c r="F969" s="34"/>
      <c r="G969" s="34"/>
    </row>
    <row r="970" spans="1:7" x14ac:dyDescent="0.3">
      <c r="A970" s="34"/>
      <c r="B970" s="34"/>
      <c r="C970" s="34"/>
      <c r="D970" s="34"/>
      <c r="E970" s="34"/>
      <c r="F970" s="34"/>
      <c r="G970" s="34"/>
    </row>
    <row r="971" spans="1:7" x14ac:dyDescent="0.3">
      <c r="A971" s="34"/>
      <c r="B971" s="34"/>
      <c r="C971" s="34"/>
      <c r="D971" s="34"/>
      <c r="E971" s="34"/>
      <c r="F971" s="34"/>
      <c r="G971" s="34"/>
    </row>
    <row r="972" spans="1:7" x14ac:dyDescent="0.3">
      <c r="A972" s="34"/>
      <c r="B972" s="34"/>
      <c r="C972" s="34"/>
      <c r="D972" s="34"/>
      <c r="E972" s="34"/>
      <c r="F972" s="34"/>
      <c r="G972" s="34"/>
    </row>
    <row r="973" spans="1:7" x14ac:dyDescent="0.3">
      <c r="A973" s="34"/>
      <c r="B973" s="34"/>
      <c r="C973" s="34"/>
      <c r="D973" s="34"/>
      <c r="E973" s="34"/>
      <c r="F973" s="34"/>
      <c r="G973" s="34"/>
    </row>
    <row r="974" spans="1:7" x14ac:dyDescent="0.3">
      <c r="A974" s="34"/>
      <c r="B974" s="34"/>
      <c r="C974" s="34"/>
      <c r="D974" s="34"/>
      <c r="E974" s="34"/>
      <c r="F974" s="34"/>
      <c r="G974" s="34"/>
    </row>
    <row r="975" spans="1:7" x14ac:dyDescent="0.3">
      <c r="A975" s="34"/>
      <c r="B975" s="34"/>
      <c r="C975" s="34"/>
      <c r="D975" s="34"/>
      <c r="E975" s="34"/>
      <c r="F975" s="34"/>
      <c r="G975" s="34"/>
    </row>
    <row r="976" spans="1:7" x14ac:dyDescent="0.3">
      <c r="A976" s="34"/>
      <c r="B976" s="34"/>
      <c r="C976" s="34"/>
      <c r="D976" s="34"/>
      <c r="E976" s="34"/>
      <c r="F976" s="34"/>
      <c r="G976" s="34"/>
    </row>
    <row r="977" spans="1:7" x14ac:dyDescent="0.3">
      <c r="A977" s="34"/>
      <c r="B977" s="34"/>
      <c r="C977" s="34"/>
      <c r="D977" s="34"/>
      <c r="E977" s="34"/>
      <c r="F977" s="34"/>
      <c r="G977" s="34"/>
    </row>
    <row r="978" spans="1:7" x14ac:dyDescent="0.3">
      <c r="A978" s="34"/>
      <c r="B978" s="34"/>
      <c r="C978" s="34"/>
      <c r="D978" s="34"/>
      <c r="E978" s="34"/>
      <c r="F978" s="34"/>
      <c r="G978" s="34"/>
    </row>
    <row r="979" spans="1:7" x14ac:dyDescent="0.3">
      <c r="A979" s="34"/>
      <c r="B979" s="34"/>
      <c r="C979" s="34"/>
      <c r="D979" s="34"/>
      <c r="E979" s="34"/>
      <c r="F979" s="34"/>
      <c r="G979" s="34"/>
    </row>
    <row r="980" spans="1:7" x14ac:dyDescent="0.3">
      <c r="A980" s="34"/>
      <c r="B980" s="34"/>
      <c r="C980" s="34"/>
      <c r="D980" s="34"/>
      <c r="E980" s="34"/>
      <c r="F980" s="34"/>
      <c r="G980" s="34"/>
    </row>
    <row r="981" spans="1:7" x14ac:dyDescent="0.3">
      <c r="A981" s="34"/>
      <c r="B981" s="34"/>
      <c r="C981" s="34"/>
      <c r="D981" s="34"/>
      <c r="E981" s="34"/>
      <c r="F981" s="34"/>
      <c r="G981" s="34"/>
    </row>
    <row r="982" spans="1:7" x14ac:dyDescent="0.3">
      <c r="A982" s="34"/>
      <c r="B982" s="34"/>
      <c r="C982" s="34"/>
      <c r="D982" s="34"/>
      <c r="E982" s="34"/>
      <c r="F982" s="34"/>
      <c r="G982" s="34"/>
    </row>
    <row r="983" spans="1:7" x14ac:dyDescent="0.3">
      <c r="A983" s="34"/>
      <c r="B983" s="34"/>
      <c r="C983" s="34"/>
      <c r="D983" s="34"/>
      <c r="E983" s="34"/>
      <c r="F983" s="34"/>
      <c r="G983" s="34"/>
    </row>
    <row r="984" spans="1:7" x14ac:dyDescent="0.3">
      <c r="A984" s="34"/>
      <c r="B984" s="34"/>
      <c r="C984" s="34"/>
      <c r="D984" s="34"/>
      <c r="E984" s="34"/>
      <c r="F984" s="34"/>
      <c r="G984" s="34"/>
    </row>
    <row r="985" spans="1:7" x14ac:dyDescent="0.3">
      <c r="A985" s="34"/>
      <c r="B985" s="34"/>
      <c r="C985" s="34"/>
      <c r="D985" s="34"/>
      <c r="E985" s="34"/>
      <c r="F985" s="34"/>
      <c r="G985" s="34"/>
    </row>
    <row r="986" spans="1:7" x14ac:dyDescent="0.3">
      <c r="A986" s="34"/>
      <c r="B986" s="34"/>
      <c r="C986" s="34"/>
      <c r="D986" s="34"/>
      <c r="E986" s="34"/>
      <c r="F986" s="34"/>
      <c r="G986" s="34"/>
    </row>
    <row r="987" spans="1:7" x14ac:dyDescent="0.3">
      <c r="A987" s="34"/>
      <c r="B987" s="34"/>
      <c r="C987" s="34"/>
      <c r="D987" s="34"/>
      <c r="E987" s="34"/>
      <c r="F987" s="34"/>
      <c r="G987" s="34"/>
    </row>
    <row r="988" spans="1:7" x14ac:dyDescent="0.3">
      <c r="A988" s="34"/>
      <c r="B988" s="34"/>
      <c r="C988" s="34"/>
      <c r="D988" s="34"/>
      <c r="E988" s="34"/>
      <c r="F988" s="34"/>
      <c r="G988" s="34"/>
    </row>
    <row r="989" spans="1:7" x14ac:dyDescent="0.3">
      <c r="A989" s="34"/>
      <c r="B989" s="34"/>
      <c r="C989" s="34"/>
      <c r="D989" s="34"/>
      <c r="E989" s="34"/>
      <c r="F989" s="34"/>
      <c r="G989" s="34"/>
    </row>
    <row r="990" spans="1:7" x14ac:dyDescent="0.3">
      <c r="A990" s="34"/>
      <c r="B990" s="34"/>
      <c r="C990" s="34"/>
      <c r="D990" s="34"/>
      <c r="E990" s="34"/>
      <c r="F990" s="34"/>
      <c r="G990" s="34"/>
    </row>
    <row r="991" spans="1:7" x14ac:dyDescent="0.3">
      <c r="A991" s="34"/>
      <c r="B991" s="34"/>
      <c r="C991" s="34"/>
      <c r="D991" s="34"/>
      <c r="E991" s="34"/>
      <c r="F991" s="34"/>
      <c r="G991" s="34"/>
    </row>
    <row r="992" spans="1:7" x14ac:dyDescent="0.3">
      <c r="A992" s="34"/>
      <c r="B992" s="34"/>
      <c r="C992" s="34"/>
      <c r="D992" s="34"/>
      <c r="E992" s="34"/>
      <c r="F992" s="34"/>
      <c r="G992" s="34"/>
    </row>
    <row r="993" spans="1:7" x14ac:dyDescent="0.3">
      <c r="A993" s="34"/>
      <c r="B993" s="34"/>
      <c r="C993" s="34"/>
      <c r="D993" s="34"/>
      <c r="E993" s="34"/>
      <c r="F993" s="34"/>
      <c r="G993" s="34"/>
    </row>
    <row r="994" spans="1:7" x14ac:dyDescent="0.3">
      <c r="A994" s="34"/>
      <c r="B994" s="34"/>
      <c r="C994" s="34"/>
      <c r="D994" s="34"/>
      <c r="E994" s="34"/>
      <c r="F994" s="34"/>
      <c r="G994" s="34"/>
    </row>
    <row r="995" spans="1:7" x14ac:dyDescent="0.3">
      <c r="A995" s="34"/>
      <c r="B995" s="34"/>
      <c r="C995" s="34"/>
      <c r="D995" s="34"/>
      <c r="E995" s="34"/>
      <c r="F995" s="34"/>
      <c r="G995" s="34"/>
    </row>
    <row r="996" spans="1:7" x14ac:dyDescent="0.3">
      <c r="A996" s="34"/>
      <c r="B996" s="34"/>
      <c r="C996" s="34"/>
      <c r="D996" s="34"/>
      <c r="E996" s="34"/>
      <c r="F996" s="34"/>
      <c r="G996" s="34"/>
    </row>
    <row r="997" spans="1:7" x14ac:dyDescent="0.3">
      <c r="A997" s="34"/>
      <c r="B997" s="34"/>
      <c r="C997" s="34"/>
      <c r="D997" s="34"/>
      <c r="E997" s="34"/>
      <c r="F997" s="34"/>
      <c r="G997" s="34"/>
    </row>
    <row r="998" spans="1:7" x14ac:dyDescent="0.3">
      <c r="A998" s="34"/>
      <c r="B998" s="34"/>
      <c r="C998" s="34"/>
      <c r="D998" s="34"/>
      <c r="E998" s="34"/>
      <c r="F998" s="34"/>
      <c r="G998" s="34"/>
    </row>
    <row r="999" spans="1:7" x14ac:dyDescent="0.3">
      <c r="A999" s="34"/>
      <c r="B999" s="34"/>
      <c r="C999" s="34"/>
      <c r="D999" s="34"/>
      <c r="E999" s="34"/>
      <c r="F999" s="34"/>
      <c r="G999" s="34"/>
    </row>
    <row r="1000" spans="1:7" x14ac:dyDescent="0.3">
      <c r="A1000" s="34"/>
      <c r="B1000" s="34"/>
      <c r="C1000" s="34"/>
      <c r="D1000" s="34"/>
      <c r="E1000" s="34"/>
      <c r="F1000" s="34"/>
      <c r="G1000" s="34"/>
    </row>
    <row r="1001" spans="1:7" x14ac:dyDescent="0.3">
      <c r="A1001" s="34"/>
      <c r="B1001" s="34"/>
      <c r="C1001" s="34"/>
      <c r="D1001" s="34"/>
      <c r="E1001" s="34"/>
      <c r="F1001" s="34"/>
      <c r="G1001" s="34"/>
    </row>
    <row r="1002" spans="1:7" x14ac:dyDescent="0.3">
      <c r="A1002" s="34"/>
      <c r="B1002" s="34"/>
      <c r="C1002" s="34"/>
      <c r="D1002" s="34"/>
      <c r="E1002" s="34"/>
      <c r="F1002" s="34"/>
      <c r="G1002" s="34"/>
    </row>
    <row r="1003" spans="1:7" x14ac:dyDescent="0.3">
      <c r="A1003" s="34"/>
      <c r="B1003" s="34"/>
      <c r="C1003" s="34"/>
      <c r="D1003" s="34"/>
      <c r="E1003" s="34"/>
      <c r="F1003" s="34"/>
      <c r="G1003" s="34"/>
    </row>
    <row r="1004" spans="1:7" x14ac:dyDescent="0.3">
      <c r="A1004" s="34"/>
      <c r="B1004" s="34"/>
      <c r="C1004" s="34"/>
      <c r="D1004" s="34"/>
      <c r="E1004" s="34"/>
      <c r="F1004" s="34"/>
      <c r="G1004" s="34"/>
    </row>
    <row r="1005" spans="1:7" x14ac:dyDescent="0.3">
      <c r="A1005" s="34"/>
      <c r="B1005" s="34"/>
      <c r="C1005" s="34"/>
      <c r="D1005" s="34"/>
      <c r="E1005" s="34"/>
      <c r="F1005" s="34"/>
      <c r="G1005" s="34"/>
    </row>
    <row r="1006" spans="1:7" x14ac:dyDescent="0.3">
      <c r="A1006" s="34"/>
      <c r="B1006" s="34"/>
      <c r="C1006" s="34"/>
      <c r="D1006" s="34"/>
      <c r="E1006" s="34"/>
      <c r="F1006" s="34"/>
      <c r="G1006" s="34"/>
    </row>
    <row r="1007" spans="1:7" x14ac:dyDescent="0.3">
      <c r="A1007" s="34"/>
      <c r="B1007" s="34"/>
      <c r="C1007" s="34"/>
      <c r="D1007" s="34"/>
      <c r="E1007" s="34"/>
      <c r="F1007" s="34"/>
      <c r="G1007" s="34"/>
    </row>
    <row r="1008" spans="1:7" x14ac:dyDescent="0.3">
      <c r="A1008" s="34"/>
      <c r="B1008" s="34"/>
      <c r="C1008" s="34"/>
      <c r="D1008" s="34"/>
      <c r="E1008" s="34"/>
      <c r="F1008" s="34"/>
      <c r="G1008" s="34"/>
    </row>
    <row r="1009" spans="1:7" x14ac:dyDescent="0.3">
      <c r="A1009" s="34"/>
      <c r="B1009" s="34"/>
      <c r="C1009" s="34"/>
      <c r="D1009" s="34"/>
      <c r="E1009" s="34"/>
      <c r="F1009" s="34"/>
      <c r="G1009" s="34"/>
    </row>
    <row r="1010" spans="1:7" x14ac:dyDescent="0.3">
      <c r="A1010" s="34"/>
      <c r="B1010" s="34"/>
      <c r="C1010" s="34"/>
      <c r="D1010" s="34"/>
      <c r="E1010" s="34"/>
      <c r="F1010" s="34"/>
      <c r="G1010" s="34"/>
    </row>
    <row r="1011" spans="1:7" x14ac:dyDescent="0.3">
      <c r="A1011" s="34"/>
      <c r="B1011" s="34"/>
      <c r="C1011" s="34"/>
      <c r="D1011" s="34"/>
      <c r="E1011" s="34"/>
      <c r="F1011" s="34"/>
      <c r="G1011" s="34"/>
    </row>
    <row r="1012" spans="1:7" x14ac:dyDescent="0.3">
      <c r="A1012" s="34"/>
      <c r="B1012" s="34"/>
      <c r="C1012" s="34"/>
      <c r="D1012" s="34"/>
      <c r="E1012" s="34"/>
      <c r="F1012" s="34"/>
      <c r="G1012" s="34"/>
    </row>
    <row r="1013" spans="1:7" x14ac:dyDescent="0.3">
      <c r="A1013" s="34"/>
      <c r="B1013" s="34"/>
      <c r="C1013" s="34"/>
      <c r="D1013" s="34"/>
      <c r="E1013" s="34"/>
      <c r="F1013" s="34"/>
      <c r="G1013" s="34"/>
    </row>
    <row r="1014" spans="1:7" x14ac:dyDescent="0.3">
      <c r="A1014" s="34"/>
      <c r="B1014" s="34"/>
      <c r="C1014" s="34"/>
      <c r="D1014" s="34"/>
      <c r="E1014" s="34"/>
      <c r="F1014" s="34"/>
      <c r="G1014" s="34"/>
    </row>
    <row r="1015" spans="1:7" x14ac:dyDescent="0.3">
      <c r="A1015" s="34"/>
      <c r="B1015" s="34"/>
      <c r="C1015" s="34"/>
      <c r="D1015" s="34"/>
      <c r="E1015" s="34"/>
      <c r="F1015" s="34"/>
      <c r="G1015" s="34"/>
    </row>
    <row r="1016" spans="1:7" x14ac:dyDescent="0.3">
      <c r="A1016" s="34"/>
      <c r="B1016" s="34"/>
      <c r="C1016" s="34"/>
      <c r="D1016" s="34"/>
      <c r="E1016" s="34"/>
      <c r="F1016" s="34"/>
      <c r="G1016" s="34"/>
    </row>
    <row r="1017" spans="1:7" x14ac:dyDescent="0.3">
      <c r="A1017" s="34"/>
      <c r="B1017" s="34"/>
      <c r="C1017" s="34"/>
      <c r="D1017" s="34"/>
      <c r="E1017" s="34"/>
      <c r="F1017" s="34"/>
      <c r="G1017" s="34"/>
    </row>
    <row r="1018" spans="1:7" x14ac:dyDescent="0.3">
      <c r="A1018" s="34"/>
      <c r="B1018" s="34"/>
      <c r="C1018" s="34"/>
      <c r="D1018" s="34"/>
      <c r="E1018" s="34"/>
      <c r="F1018" s="34"/>
      <c r="G1018" s="34"/>
    </row>
    <row r="1019" spans="1:7" x14ac:dyDescent="0.3">
      <c r="A1019" s="34"/>
      <c r="B1019" s="34"/>
      <c r="C1019" s="34"/>
      <c r="D1019" s="34"/>
      <c r="E1019" s="34"/>
      <c r="F1019" s="34"/>
      <c r="G1019" s="34"/>
    </row>
    <row r="1020" spans="1:7" x14ac:dyDescent="0.3">
      <c r="A1020" s="34"/>
      <c r="B1020" s="34"/>
      <c r="C1020" s="34"/>
      <c r="D1020" s="34"/>
      <c r="E1020" s="34"/>
      <c r="F1020" s="34"/>
      <c r="G1020" s="34"/>
    </row>
    <row r="1021" spans="1:7" x14ac:dyDescent="0.3">
      <c r="A1021" s="34"/>
      <c r="B1021" s="34"/>
      <c r="C1021" s="34"/>
      <c r="D1021" s="34"/>
      <c r="E1021" s="34"/>
      <c r="F1021" s="34"/>
      <c r="G1021" s="34"/>
    </row>
    <row r="1022" spans="1:7" x14ac:dyDescent="0.3">
      <c r="A1022" s="34"/>
      <c r="B1022" s="34"/>
      <c r="C1022" s="34"/>
      <c r="D1022" s="34"/>
      <c r="E1022" s="34"/>
      <c r="F1022" s="34"/>
      <c r="G1022" s="34"/>
    </row>
    <row r="1023" spans="1:7" x14ac:dyDescent="0.3">
      <c r="A1023" s="34"/>
      <c r="B1023" s="34"/>
      <c r="C1023" s="34"/>
      <c r="D1023" s="34"/>
      <c r="E1023" s="34"/>
      <c r="F1023" s="34"/>
      <c r="G1023" s="34"/>
    </row>
    <row r="1024" spans="1:7" x14ac:dyDescent="0.3">
      <c r="A1024" s="34"/>
      <c r="B1024" s="34"/>
      <c r="C1024" s="34"/>
      <c r="D1024" s="34"/>
      <c r="E1024" s="34"/>
      <c r="F1024" s="34"/>
      <c r="G1024" s="34"/>
    </row>
    <row r="1025" spans="1:7" x14ac:dyDescent="0.3">
      <c r="A1025" s="34"/>
      <c r="B1025" s="34"/>
      <c r="C1025" s="34"/>
      <c r="D1025" s="34"/>
      <c r="E1025" s="34"/>
      <c r="F1025" s="34"/>
      <c r="G1025" s="34"/>
    </row>
    <row r="1026" spans="1:7" x14ac:dyDescent="0.3">
      <c r="A1026" s="34"/>
      <c r="B1026" s="34"/>
      <c r="C1026" s="34"/>
      <c r="D1026" s="34"/>
      <c r="E1026" s="34"/>
      <c r="F1026" s="34"/>
      <c r="G1026" s="34"/>
    </row>
    <row r="1027" spans="1:7" x14ac:dyDescent="0.3">
      <c r="A1027" s="34"/>
      <c r="B1027" s="34"/>
      <c r="C1027" s="34"/>
      <c r="D1027" s="34"/>
      <c r="E1027" s="34"/>
      <c r="F1027" s="34"/>
      <c r="G1027" s="34"/>
    </row>
    <row r="1028" spans="1:7" x14ac:dyDescent="0.3">
      <c r="A1028" s="34"/>
      <c r="B1028" s="34"/>
      <c r="C1028" s="34"/>
      <c r="D1028" s="34"/>
      <c r="E1028" s="34"/>
      <c r="F1028" s="34"/>
      <c r="G1028" s="34"/>
    </row>
    <row r="1029" spans="1:7" x14ac:dyDescent="0.3">
      <c r="A1029" s="34"/>
      <c r="B1029" s="34"/>
      <c r="C1029" s="34"/>
      <c r="D1029" s="34"/>
      <c r="E1029" s="34"/>
      <c r="F1029" s="34"/>
      <c r="G1029" s="34"/>
    </row>
    <row r="1030" spans="1:7" x14ac:dyDescent="0.3">
      <c r="A1030" s="34"/>
      <c r="B1030" s="34"/>
      <c r="C1030" s="34"/>
      <c r="D1030" s="34"/>
      <c r="E1030" s="34"/>
      <c r="F1030" s="34"/>
      <c r="G1030" s="34"/>
    </row>
    <row r="1031" spans="1:7" x14ac:dyDescent="0.3">
      <c r="A1031" s="34"/>
      <c r="B1031" s="34"/>
      <c r="C1031" s="34"/>
      <c r="D1031" s="34"/>
      <c r="E1031" s="34"/>
      <c r="F1031" s="34"/>
      <c r="G1031" s="34"/>
    </row>
    <row r="1032" spans="1:7" x14ac:dyDescent="0.3">
      <c r="A1032" s="34"/>
      <c r="B1032" s="34"/>
      <c r="C1032" s="34"/>
      <c r="D1032" s="34"/>
      <c r="E1032" s="34"/>
      <c r="F1032" s="34"/>
      <c r="G1032" s="34"/>
    </row>
    <row r="1033" spans="1:7" x14ac:dyDescent="0.3">
      <c r="A1033" s="34"/>
      <c r="B1033" s="34"/>
      <c r="C1033" s="34"/>
      <c r="D1033" s="34"/>
      <c r="E1033" s="34"/>
      <c r="F1033" s="34"/>
      <c r="G1033" s="34"/>
    </row>
    <row r="1034" spans="1:7" x14ac:dyDescent="0.3">
      <c r="A1034" s="34"/>
      <c r="B1034" s="34"/>
      <c r="C1034" s="34"/>
      <c r="D1034" s="34"/>
      <c r="E1034" s="34"/>
      <c r="F1034" s="34"/>
      <c r="G1034" s="34"/>
    </row>
    <row r="1035" spans="1:7" x14ac:dyDescent="0.3">
      <c r="A1035" s="34"/>
      <c r="B1035" s="34"/>
      <c r="C1035" s="34"/>
      <c r="D1035" s="34"/>
      <c r="E1035" s="34"/>
      <c r="F1035" s="34"/>
      <c r="G1035" s="34"/>
    </row>
    <row r="1036" spans="1:7" x14ac:dyDescent="0.3">
      <c r="A1036" s="34"/>
      <c r="B1036" s="34"/>
      <c r="C1036" s="34"/>
      <c r="D1036" s="34"/>
      <c r="E1036" s="34"/>
      <c r="F1036" s="34"/>
      <c r="G1036" s="34"/>
    </row>
    <row r="1037" spans="1:7" x14ac:dyDescent="0.3">
      <c r="A1037" s="34"/>
      <c r="B1037" s="34"/>
      <c r="C1037" s="34"/>
      <c r="D1037" s="34"/>
      <c r="E1037" s="34"/>
      <c r="F1037" s="34"/>
      <c r="G1037" s="34"/>
    </row>
    <row r="1038" spans="1:7" x14ac:dyDescent="0.3">
      <c r="A1038" s="34"/>
      <c r="B1038" s="34"/>
      <c r="C1038" s="34"/>
      <c r="D1038" s="34"/>
      <c r="E1038" s="34"/>
      <c r="F1038" s="34"/>
      <c r="G1038" s="34"/>
    </row>
    <row r="1039" spans="1:7" x14ac:dyDescent="0.3">
      <c r="A1039" s="34"/>
      <c r="B1039" s="34"/>
      <c r="C1039" s="34"/>
      <c r="D1039" s="34"/>
      <c r="E1039" s="34"/>
      <c r="F1039" s="34"/>
      <c r="G1039" s="34"/>
    </row>
    <row r="1040" spans="1:7" x14ac:dyDescent="0.3">
      <c r="A1040" s="34"/>
      <c r="B1040" s="34"/>
      <c r="C1040" s="34"/>
      <c r="D1040" s="34"/>
      <c r="E1040" s="34"/>
      <c r="F1040" s="34"/>
      <c r="G1040" s="34"/>
    </row>
    <row r="1041" spans="1:7" x14ac:dyDescent="0.3">
      <c r="A1041" s="34"/>
      <c r="B1041" s="34"/>
      <c r="C1041" s="34"/>
      <c r="D1041" s="34"/>
      <c r="E1041" s="34"/>
      <c r="F1041" s="34"/>
      <c r="G1041" s="34"/>
    </row>
    <row r="1042" spans="1:7" x14ac:dyDescent="0.3">
      <c r="A1042" s="34"/>
      <c r="B1042" s="34"/>
      <c r="C1042" s="34"/>
      <c r="D1042" s="34"/>
      <c r="E1042" s="34"/>
      <c r="F1042" s="34"/>
      <c r="G1042" s="34"/>
    </row>
    <row r="1043" spans="1:7" x14ac:dyDescent="0.3">
      <c r="A1043" s="34"/>
      <c r="B1043" s="34"/>
      <c r="C1043" s="34"/>
      <c r="D1043" s="34"/>
      <c r="E1043" s="34"/>
      <c r="F1043" s="34"/>
      <c r="G1043" s="34"/>
    </row>
    <row r="1044" spans="1:7" x14ac:dyDescent="0.3">
      <c r="A1044" s="34"/>
      <c r="B1044" s="34"/>
      <c r="C1044" s="34"/>
      <c r="D1044" s="34"/>
      <c r="E1044" s="34"/>
      <c r="F1044" s="34"/>
      <c r="G1044" s="34"/>
    </row>
    <row r="1045" spans="1:7" x14ac:dyDescent="0.3">
      <c r="A1045" s="34"/>
      <c r="B1045" s="34"/>
      <c r="C1045" s="34"/>
      <c r="D1045" s="34"/>
      <c r="E1045" s="34"/>
      <c r="F1045" s="34"/>
      <c r="G1045" s="34"/>
    </row>
    <row r="1046" spans="1:7" x14ac:dyDescent="0.3">
      <c r="A1046" s="34"/>
      <c r="B1046" s="34"/>
      <c r="C1046" s="34"/>
      <c r="D1046" s="34"/>
      <c r="E1046" s="34"/>
      <c r="F1046" s="34"/>
      <c r="G1046" s="34"/>
    </row>
    <row r="1047" spans="1:7" x14ac:dyDescent="0.3">
      <c r="A1047" s="34"/>
      <c r="B1047" s="34"/>
      <c r="C1047" s="34"/>
      <c r="D1047" s="34"/>
      <c r="E1047" s="34"/>
      <c r="F1047" s="34"/>
      <c r="G1047" s="34"/>
    </row>
    <row r="1048" spans="1:7" x14ac:dyDescent="0.3">
      <c r="A1048" s="34"/>
      <c r="B1048" s="34"/>
      <c r="C1048" s="34"/>
      <c r="D1048" s="34"/>
      <c r="E1048" s="34"/>
      <c r="F1048" s="34"/>
      <c r="G1048" s="34"/>
    </row>
    <row r="1049" spans="1:7" x14ac:dyDescent="0.3">
      <c r="A1049" s="34"/>
      <c r="B1049" s="34"/>
      <c r="C1049" s="34"/>
      <c r="D1049" s="34"/>
      <c r="E1049" s="34"/>
      <c r="F1049" s="34"/>
      <c r="G1049" s="34"/>
    </row>
    <row r="1050" spans="1:7" x14ac:dyDescent="0.3">
      <c r="A1050" s="34"/>
      <c r="B1050" s="34"/>
      <c r="C1050" s="34"/>
      <c r="D1050" s="34"/>
      <c r="E1050" s="34"/>
      <c r="F1050" s="34"/>
      <c r="G1050" s="34"/>
    </row>
    <row r="1051" spans="1:7" x14ac:dyDescent="0.3">
      <c r="A1051" s="34"/>
      <c r="B1051" s="34"/>
      <c r="C1051" s="34"/>
      <c r="D1051" s="34"/>
      <c r="E1051" s="34"/>
      <c r="F1051" s="34"/>
      <c r="G1051" s="34"/>
    </row>
    <row r="1052" spans="1:7" x14ac:dyDescent="0.3">
      <c r="A1052" s="34"/>
      <c r="B1052" s="34"/>
      <c r="C1052" s="34"/>
      <c r="D1052" s="34"/>
      <c r="E1052" s="34"/>
      <c r="F1052" s="34"/>
      <c r="G1052" s="34"/>
    </row>
    <row r="1053" spans="1:7" x14ac:dyDescent="0.3">
      <c r="A1053" s="34"/>
      <c r="B1053" s="34"/>
      <c r="C1053" s="34"/>
      <c r="D1053" s="34"/>
      <c r="E1053" s="34"/>
      <c r="F1053" s="34"/>
      <c r="G1053" s="34"/>
    </row>
    <row r="1054" spans="1:7" x14ac:dyDescent="0.3">
      <c r="A1054" s="34"/>
      <c r="B1054" s="34"/>
      <c r="C1054" s="34"/>
      <c r="D1054" s="34"/>
      <c r="E1054" s="34"/>
      <c r="F1054" s="34"/>
      <c r="G1054" s="34"/>
    </row>
    <row r="1055" spans="1:7" x14ac:dyDescent="0.3">
      <c r="A1055" s="34"/>
      <c r="B1055" s="34"/>
      <c r="C1055" s="34"/>
      <c r="D1055" s="34"/>
      <c r="E1055" s="34"/>
      <c r="F1055" s="34"/>
      <c r="G1055" s="34"/>
    </row>
    <row r="1056" spans="1:7" x14ac:dyDescent="0.3">
      <c r="A1056" s="34"/>
      <c r="B1056" s="34"/>
      <c r="C1056" s="34"/>
      <c r="D1056" s="34"/>
      <c r="E1056" s="34"/>
      <c r="F1056" s="34"/>
      <c r="G1056" s="34"/>
    </row>
    <row r="1057" spans="1:7" x14ac:dyDescent="0.3">
      <c r="A1057" s="34"/>
      <c r="B1057" s="34"/>
      <c r="C1057" s="34"/>
      <c r="D1057" s="34"/>
      <c r="E1057" s="34"/>
      <c r="F1057" s="34"/>
      <c r="G1057" s="34"/>
    </row>
    <row r="1058" spans="1:7" x14ac:dyDescent="0.3">
      <c r="A1058" s="34"/>
      <c r="B1058" s="34"/>
      <c r="C1058" s="34"/>
      <c r="D1058" s="34"/>
      <c r="E1058" s="34"/>
      <c r="F1058" s="34"/>
      <c r="G1058" s="34"/>
    </row>
    <row r="1059" spans="1:7" x14ac:dyDescent="0.3">
      <c r="A1059" s="34"/>
      <c r="B1059" s="34"/>
      <c r="C1059" s="34"/>
      <c r="D1059" s="34"/>
      <c r="E1059" s="34"/>
      <c r="F1059" s="34"/>
      <c r="G1059" s="34"/>
    </row>
    <row r="1060" spans="1:7" x14ac:dyDescent="0.3">
      <c r="A1060" s="34"/>
      <c r="B1060" s="34"/>
      <c r="C1060" s="34"/>
      <c r="D1060" s="34"/>
      <c r="E1060" s="34"/>
      <c r="F1060" s="34"/>
      <c r="G1060" s="34"/>
    </row>
    <row r="1061" spans="1:7" x14ac:dyDescent="0.3">
      <c r="A1061" s="34"/>
      <c r="B1061" s="34"/>
      <c r="C1061" s="34"/>
      <c r="D1061" s="34"/>
      <c r="E1061" s="34"/>
      <c r="F1061" s="34"/>
      <c r="G1061" s="34"/>
    </row>
    <row r="1062" spans="1:7" x14ac:dyDescent="0.3">
      <c r="A1062" s="34"/>
      <c r="B1062" s="34"/>
      <c r="C1062" s="34"/>
      <c r="D1062" s="34"/>
      <c r="E1062" s="34"/>
      <c r="F1062" s="34"/>
      <c r="G1062" s="34"/>
    </row>
    <row r="1063" spans="1:7" x14ac:dyDescent="0.3">
      <c r="A1063" s="34"/>
      <c r="B1063" s="34"/>
      <c r="C1063" s="34"/>
      <c r="D1063" s="34"/>
      <c r="E1063" s="34"/>
      <c r="F1063" s="34"/>
      <c r="G1063" s="34"/>
    </row>
    <row r="1064" spans="1:7" x14ac:dyDescent="0.3">
      <c r="A1064" s="34"/>
      <c r="B1064" s="34"/>
      <c r="C1064" s="34"/>
      <c r="D1064" s="34"/>
      <c r="E1064" s="34"/>
      <c r="F1064" s="34"/>
      <c r="G1064" s="34"/>
    </row>
    <row r="1065" spans="1:7" x14ac:dyDescent="0.3">
      <c r="A1065" s="34"/>
      <c r="B1065" s="34"/>
      <c r="C1065" s="34"/>
      <c r="D1065" s="34"/>
      <c r="E1065" s="34"/>
      <c r="F1065" s="34"/>
      <c r="G1065" s="34"/>
    </row>
    <row r="1066" spans="1:7" x14ac:dyDescent="0.3">
      <c r="A1066" s="34"/>
      <c r="B1066" s="34"/>
      <c r="C1066" s="34"/>
      <c r="D1066" s="34"/>
      <c r="E1066" s="34"/>
      <c r="F1066" s="34"/>
      <c r="G1066" s="34"/>
    </row>
    <row r="1067" spans="1:7" x14ac:dyDescent="0.3">
      <c r="A1067" s="34"/>
      <c r="B1067" s="34"/>
      <c r="C1067" s="34"/>
      <c r="D1067" s="34"/>
      <c r="E1067" s="34"/>
      <c r="F1067" s="34"/>
      <c r="G1067" s="34"/>
    </row>
    <row r="1068" spans="1:7" x14ac:dyDescent="0.3">
      <c r="A1068" s="34"/>
      <c r="B1068" s="34"/>
      <c r="C1068" s="34"/>
      <c r="D1068" s="34"/>
      <c r="E1068" s="34"/>
      <c r="F1068" s="34"/>
      <c r="G1068" s="34"/>
    </row>
    <row r="1069" spans="1:7" x14ac:dyDescent="0.3">
      <c r="A1069" s="34"/>
      <c r="B1069" s="34"/>
      <c r="C1069" s="34"/>
      <c r="D1069" s="34"/>
      <c r="E1069" s="34"/>
      <c r="F1069" s="34"/>
      <c r="G1069" s="34"/>
    </row>
    <row r="1070" spans="1:7" x14ac:dyDescent="0.3">
      <c r="A1070" s="34"/>
      <c r="B1070" s="34"/>
      <c r="C1070" s="34"/>
      <c r="D1070" s="34"/>
      <c r="E1070" s="34"/>
      <c r="F1070" s="34"/>
      <c r="G1070" s="34"/>
    </row>
    <row r="1071" spans="1:7" x14ac:dyDescent="0.3">
      <c r="A1071" s="34"/>
      <c r="B1071" s="34"/>
      <c r="C1071" s="34"/>
      <c r="D1071" s="34"/>
      <c r="E1071" s="34"/>
      <c r="F1071" s="34"/>
      <c r="G1071" s="34"/>
    </row>
    <row r="1072" spans="1:7" x14ac:dyDescent="0.3">
      <c r="A1072" s="34"/>
      <c r="B1072" s="34"/>
      <c r="C1072" s="34"/>
      <c r="D1072" s="34"/>
      <c r="E1072" s="34"/>
      <c r="F1072" s="34"/>
      <c r="G1072" s="34"/>
    </row>
    <row r="1073" spans="1:7" x14ac:dyDescent="0.3">
      <c r="A1073" s="34"/>
      <c r="B1073" s="34"/>
      <c r="C1073" s="34"/>
      <c r="D1073" s="34"/>
      <c r="E1073" s="34"/>
      <c r="F1073" s="34"/>
      <c r="G1073" s="34"/>
    </row>
    <row r="1074" spans="1:7" x14ac:dyDescent="0.3">
      <c r="A1074" s="34"/>
      <c r="B1074" s="34"/>
      <c r="C1074" s="34"/>
      <c r="D1074" s="34"/>
      <c r="E1074" s="34"/>
      <c r="F1074" s="34"/>
      <c r="G1074" s="34"/>
    </row>
    <row r="1075" spans="1:7" x14ac:dyDescent="0.3">
      <c r="A1075" s="34"/>
      <c r="B1075" s="34"/>
      <c r="C1075" s="34"/>
      <c r="D1075" s="34"/>
      <c r="E1075" s="34"/>
      <c r="F1075" s="34"/>
      <c r="G1075" s="34"/>
    </row>
    <row r="1076" spans="1:7" x14ac:dyDescent="0.3">
      <c r="A1076" s="34"/>
      <c r="B1076" s="34"/>
      <c r="C1076" s="34"/>
      <c r="D1076" s="34"/>
      <c r="E1076" s="34"/>
      <c r="F1076" s="34"/>
      <c r="G1076" s="34"/>
    </row>
    <row r="1077" spans="1:7" x14ac:dyDescent="0.3">
      <c r="A1077" s="34"/>
      <c r="B1077" s="34"/>
      <c r="C1077" s="34"/>
      <c r="D1077" s="34"/>
      <c r="E1077" s="34"/>
      <c r="F1077" s="34"/>
      <c r="G1077" s="34"/>
    </row>
    <row r="1078" spans="1:7" x14ac:dyDescent="0.3">
      <c r="A1078" s="34"/>
      <c r="B1078" s="34"/>
      <c r="C1078" s="34"/>
      <c r="D1078" s="34"/>
      <c r="E1078" s="34"/>
      <c r="F1078" s="34"/>
      <c r="G1078" s="34"/>
    </row>
    <row r="1079" spans="1:7" x14ac:dyDescent="0.3">
      <c r="A1079" s="34"/>
      <c r="B1079" s="34"/>
      <c r="C1079" s="34"/>
      <c r="D1079" s="34"/>
      <c r="E1079" s="34"/>
      <c r="F1079" s="34"/>
      <c r="G1079" s="34"/>
    </row>
    <row r="1080" spans="1:7" x14ac:dyDescent="0.3">
      <c r="A1080" s="34"/>
      <c r="B1080" s="34"/>
      <c r="C1080" s="34"/>
      <c r="D1080" s="34"/>
      <c r="E1080" s="34"/>
      <c r="F1080" s="34"/>
      <c r="G1080" s="34"/>
    </row>
    <row r="1081" spans="1:7" x14ac:dyDescent="0.3">
      <c r="A1081" s="34"/>
      <c r="B1081" s="34"/>
      <c r="C1081" s="34"/>
      <c r="D1081" s="34"/>
      <c r="E1081" s="34"/>
      <c r="F1081" s="34"/>
      <c r="G1081" s="34"/>
    </row>
    <row r="1082" spans="1:7" x14ac:dyDescent="0.3">
      <c r="A1082" s="34"/>
      <c r="B1082" s="34"/>
      <c r="C1082" s="34"/>
      <c r="D1082" s="34"/>
      <c r="E1082" s="34"/>
      <c r="F1082" s="34"/>
      <c r="G1082" s="34"/>
    </row>
    <row r="1083" spans="1:7" x14ac:dyDescent="0.3">
      <c r="A1083" s="34"/>
      <c r="B1083" s="34"/>
      <c r="C1083" s="34"/>
      <c r="D1083" s="34"/>
      <c r="E1083" s="34"/>
      <c r="F1083" s="34"/>
      <c r="G1083" s="34"/>
    </row>
    <row r="1084" spans="1:7" x14ac:dyDescent="0.3">
      <c r="A1084" s="34"/>
      <c r="B1084" s="34"/>
      <c r="C1084" s="34"/>
      <c r="D1084" s="34"/>
      <c r="E1084" s="34"/>
      <c r="F1084" s="34"/>
      <c r="G1084" s="34"/>
    </row>
    <row r="1085" spans="1:7" x14ac:dyDescent="0.3">
      <c r="A1085" s="34"/>
      <c r="B1085" s="34"/>
      <c r="C1085" s="34"/>
      <c r="D1085" s="34"/>
      <c r="E1085" s="34"/>
      <c r="F1085" s="34"/>
      <c r="G1085" s="34"/>
    </row>
    <row r="1086" spans="1:7" x14ac:dyDescent="0.3">
      <c r="A1086" s="34"/>
      <c r="B1086" s="34"/>
      <c r="C1086" s="34"/>
      <c r="D1086" s="34"/>
      <c r="E1086" s="34"/>
      <c r="F1086" s="34"/>
      <c r="G1086" s="34"/>
    </row>
    <row r="1087" spans="1:7" x14ac:dyDescent="0.3">
      <c r="A1087" s="34"/>
      <c r="B1087" s="34"/>
      <c r="C1087" s="34"/>
      <c r="D1087" s="34"/>
      <c r="E1087" s="34"/>
      <c r="F1087" s="34"/>
      <c r="G1087" s="34"/>
    </row>
    <row r="1088" spans="1:7" x14ac:dyDescent="0.3">
      <c r="A1088" s="34"/>
      <c r="B1088" s="34"/>
      <c r="C1088" s="34"/>
      <c r="D1088" s="34"/>
      <c r="E1088" s="34"/>
      <c r="F1088" s="34"/>
      <c r="G1088" s="34"/>
    </row>
    <row r="1089" spans="1:7" x14ac:dyDescent="0.3">
      <c r="A1089" s="34"/>
      <c r="B1089" s="34"/>
      <c r="C1089" s="34"/>
      <c r="D1089" s="34"/>
      <c r="E1089" s="34"/>
      <c r="F1089" s="34"/>
      <c r="G1089" s="34"/>
    </row>
    <row r="1090" spans="1:7" x14ac:dyDescent="0.3">
      <c r="A1090" s="34"/>
      <c r="B1090" s="34"/>
      <c r="C1090" s="34"/>
      <c r="D1090" s="34"/>
      <c r="E1090" s="34"/>
      <c r="F1090" s="34"/>
      <c r="G1090" s="34"/>
    </row>
    <row r="1091" spans="1:7" x14ac:dyDescent="0.3">
      <c r="A1091" s="34"/>
      <c r="B1091" s="34"/>
      <c r="C1091" s="34"/>
      <c r="D1091" s="34"/>
      <c r="E1091" s="34"/>
      <c r="F1091" s="34"/>
      <c r="G1091" s="34"/>
    </row>
    <row r="1092" spans="1:7" x14ac:dyDescent="0.3">
      <c r="A1092" s="34"/>
      <c r="B1092" s="34"/>
      <c r="C1092" s="34"/>
      <c r="D1092" s="34"/>
      <c r="E1092" s="34"/>
      <c r="F1092" s="34"/>
      <c r="G1092" s="34"/>
    </row>
    <row r="1093" spans="1:7" x14ac:dyDescent="0.3">
      <c r="A1093" s="34"/>
      <c r="B1093" s="34"/>
      <c r="C1093" s="34"/>
      <c r="D1093" s="34"/>
      <c r="E1093" s="34"/>
      <c r="F1093" s="34"/>
      <c r="G1093" s="34"/>
    </row>
    <row r="1094" spans="1:7" x14ac:dyDescent="0.3">
      <c r="A1094" s="34"/>
      <c r="B1094" s="34"/>
      <c r="C1094" s="34"/>
      <c r="D1094" s="34"/>
      <c r="E1094" s="34"/>
      <c r="F1094" s="34"/>
      <c r="G1094" s="34"/>
    </row>
    <row r="1095" spans="1:7" x14ac:dyDescent="0.3">
      <c r="A1095" s="34"/>
      <c r="B1095" s="34"/>
      <c r="C1095" s="34"/>
      <c r="D1095" s="34"/>
      <c r="E1095" s="34"/>
      <c r="F1095" s="34"/>
      <c r="G1095" s="34"/>
    </row>
    <row r="1096" spans="1:7" x14ac:dyDescent="0.3">
      <c r="A1096" s="34"/>
      <c r="B1096" s="34"/>
      <c r="C1096" s="34"/>
      <c r="D1096" s="34"/>
      <c r="E1096" s="34"/>
      <c r="F1096" s="34"/>
      <c r="G1096" s="34"/>
    </row>
    <row r="1097" spans="1:7" x14ac:dyDescent="0.3">
      <c r="A1097" s="34"/>
      <c r="B1097" s="34"/>
      <c r="C1097" s="34"/>
      <c r="D1097" s="34"/>
      <c r="E1097" s="34"/>
      <c r="F1097" s="34"/>
      <c r="G1097" s="34"/>
    </row>
    <row r="1098" spans="1:7" x14ac:dyDescent="0.3">
      <c r="A1098" s="34"/>
      <c r="B1098" s="34"/>
      <c r="C1098" s="34"/>
      <c r="D1098" s="34"/>
      <c r="E1098" s="34"/>
      <c r="F1098" s="34"/>
      <c r="G1098" s="34"/>
    </row>
    <row r="1099" spans="1:7" x14ac:dyDescent="0.3">
      <c r="A1099" s="34"/>
      <c r="B1099" s="34"/>
      <c r="C1099" s="34"/>
      <c r="D1099" s="34"/>
      <c r="E1099" s="34"/>
      <c r="F1099" s="34"/>
      <c r="G1099" s="34"/>
    </row>
    <row r="1100" spans="1:7" x14ac:dyDescent="0.3">
      <c r="A1100" s="34"/>
      <c r="B1100" s="34"/>
      <c r="C1100" s="34"/>
      <c r="D1100" s="34"/>
      <c r="E1100" s="34"/>
      <c r="F1100" s="34"/>
      <c r="G1100" s="34"/>
    </row>
    <row r="1101" spans="1:7" x14ac:dyDescent="0.3">
      <c r="A1101" s="34"/>
      <c r="B1101" s="34"/>
      <c r="C1101" s="34"/>
      <c r="D1101" s="34"/>
      <c r="E1101" s="34"/>
      <c r="F1101" s="34"/>
      <c r="G1101" s="34"/>
    </row>
    <row r="1102" spans="1:7" x14ac:dyDescent="0.3">
      <c r="A1102" s="34"/>
      <c r="B1102" s="34"/>
      <c r="C1102" s="34"/>
      <c r="D1102" s="34"/>
      <c r="E1102" s="34"/>
      <c r="F1102" s="34"/>
      <c r="G1102" s="34"/>
    </row>
    <row r="1103" spans="1:7" x14ac:dyDescent="0.3">
      <c r="A1103" s="34"/>
      <c r="B1103" s="34"/>
      <c r="C1103" s="34"/>
      <c r="D1103" s="34"/>
      <c r="E1103" s="34"/>
      <c r="F1103" s="34"/>
      <c r="G1103" s="34"/>
    </row>
    <row r="1104" spans="1:7" x14ac:dyDescent="0.3">
      <c r="A1104" s="34"/>
      <c r="B1104" s="34"/>
      <c r="C1104" s="34"/>
      <c r="D1104" s="34"/>
      <c r="E1104" s="34"/>
      <c r="F1104" s="34"/>
      <c r="G1104" s="34"/>
    </row>
    <row r="1105" spans="1:7" x14ac:dyDescent="0.3">
      <c r="A1105" s="34"/>
      <c r="B1105" s="34"/>
      <c r="C1105" s="34"/>
      <c r="D1105" s="34"/>
      <c r="E1105" s="34"/>
      <c r="F1105" s="34"/>
      <c r="G1105" s="34"/>
    </row>
    <row r="1106" spans="1:7" x14ac:dyDescent="0.3">
      <c r="A1106" s="34"/>
      <c r="B1106" s="34"/>
      <c r="C1106" s="34"/>
      <c r="D1106" s="34"/>
      <c r="E1106" s="34"/>
      <c r="F1106" s="34"/>
      <c r="G1106" s="34"/>
    </row>
    <row r="1107" spans="1:7" x14ac:dyDescent="0.3">
      <c r="A1107" s="34"/>
      <c r="B1107" s="34"/>
      <c r="C1107" s="34"/>
      <c r="D1107" s="34"/>
      <c r="E1107" s="34"/>
      <c r="F1107" s="34"/>
      <c r="G1107" s="34"/>
    </row>
    <row r="1108" spans="1:7" x14ac:dyDescent="0.3">
      <c r="A1108" s="34"/>
      <c r="B1108" s="34"/>
      <c r="C1108" s="34"/>
      <c r="D1108" s="34"/>
      <c r="E1108" s="34"/>
      <c r="F1108" s="34"/>
      <c r="G1108" s="34"/>
    </row>
    <row r="1109" spans="1:7" x14ac:dyDescent="0.3">
      <c r="A1109" s="34"/>
      <c r="B1109" s="34"/>
      <c r="C1109" s="34"/>
      <c r="D1109" s="34"/>
      <c r="E1109" s="34"/>
      <c r="F1109" s="34"/>
      <c r="G1109" s="34"/>
    </row>
    <row r="1110" spans="1:7" x14ac:dyDescent="0.3">
      <c r="A1110" s="34"/>
      <c r="B1110" s="34"/>
      <c r="C1110" s="34"/>
      <c r="D1110" s="34"/>
      <c r="E1110" s="34"/>
      <c r="F1110" s="34"/>
      <c r="G1110" s="34"/>
    </row>
    <row r="1111" spans="1:7" x14ac:dyDescent="0.3">
      <c r="A1111" s="34"/>
      <c r="B1111" s="34"/>
      <c r="C1111" s="34"/>
      <c r="D1111" s="34"/>
      <c r="E1111" s="34"/>
      <c r="F1111" s="34"/>
      <c r="G1111" s="34"/>
    </row>
    <row r="1112" spans="1:7" x14ac:dyDescent="0.3">
      <c r="A1112" s="34"/>
      <c r="B1112" s="34"/>
      <c r="C1112" s="34"/>
      <c r="D1112" s="34"/>
      <c r="E1112" s="34"/>
      <c r="F1112" s="34"/>
      <c r="G1112" s="34"/>
    </row>
    <row r="1113" spans="1:7" x14ac:dyDescent="0.3">
      <c r="A1113" s="34"/>
      <c r="B1113" s="34"/>
      <c r="C1113" s="34"/>
      <c r="D1113" s="34"/>
      <c r="E1113" s="34"/>
      <c r="F1113" s="34"/>
      <c r="G1113" s="34"/>
    </row>
    <row r="1114" spans="1:7" x14ac:dyDescent="0.3">
      <c r="A1114" s="34"/>
      <c r="B1114" s="34"/>
      <c r="C1114" s="34"/>
      <c r="D1114" s="34"/>
      <c r="E1114" s="34"/>
      <c r="F1114" s="34"/>
      <c r="G1114" s="34"/>
    </row>
    <row r="1115" spans="1:7" x14ac:dyDescent="0.3">
      <c r="A1115" s="34"/>
      <c r="B1115" s="34"/>
      <c r="C1115" s="34"/>
      <c r="D1115" s="34"/>
      <c r="E1115" s="34"/>
      <c r="F1115" s="34"/>
      <c r="G1115" s="34"/>
    </row>
    <row r="1116" spans="1:7" x14ac:dyDescent="0.3">
      <c r="A1116" s="34"/>
      <c r="B1116" s="34"/>
      <c r="C1116" s="34"/>
      <c r="D1116" s="34"/>
      <c r="E1116" s="34"/>
      <c r="F1116" s="34"/>
      <c r="G1116" s="34"/>
    </row>
    <row r="1117" spans="1:7" x14ac:dyDescent="0.3">
      <c r="A1117" s="34"/>
      <c r="B1117" s="34"/>
      <c r="C1117" s="34"/>
      <c r="D1117" s="34"/>
      <c r="E1117" s="34"/>
      <c r="F1117" s="34"/>
      <c r="G1117" s="34"/>
    </row>
    <row r="1118" spans="1:7" x14ac:dyDescent="0.3">
      <c r="A1118" s="34"/>
      <c r="B1118" s="34"/>
      <c r="C1118" s="34"/>
      <c r="D1118" s="34"/>
      <c r="E1118" s="34"/>
      <c r="F1118" s="34"/>
      <c r="G1118" s="34"/>
    </row>
    <row r="1119" spans="1:7" x14ac:dyDescent="0.3">
      <c r="A1119" s="34"/>
      <c r="B1119" s="34"/>
      <c r="C1119" s="34"/>
      <c r="D1119" s="34"/>
      <c r="E1119" s="34"/>
      <c r="F1119" s="34"/>
      <c r="G1119" s="34"/>
    </row>
    <row r="1120" spans="1:7" x14ac:dyDescent="0.3">
      <c r="A1120" s="34"/>
      <c r="B1120" s="34"/>
      <c r="C1120" s="34"/>
      <c r="D1120" s="34"/>
      <c r="E1120" s="34"/>
      <c r="F1120" s="34"/>
      <c r="G1120" s="34"/>
    </row>
    <row r="1121" spans="1:7" x14ac:dyDescent="0.3">
      <c r="A1121" s="34"/>
      <c r="B1121" s="34"/>
      <c r="C1121" s="34"/>
      <c r="D1121" s="34"/>
      <c r="E1121" s="34"/>
      <c r="F1121" s="34"/>
      <c r="G1121" s="34"/>
    </row>
    <row r="1122" spans="1:7" x14ac:dyDescent="0.3">
      <c r="A1122" s="34"/>
      <c r="B1122" s="34"/>
      <c r="C1122" s="34"/>
      <c r="D1122" s="34"/>
      <c r="E1122" s="34"/>
      <c r="F1122" s="34"/>
      <c r="G1122" s="34"/>
    </row>
    <row r="1123" spans="1:7" x14ac:dyDescent="0.3">
      <c r="A1123" s="34"/>
      <c r="B1123" s="34"/>
      <c r="C1123" s="34"/>
      <c r="D1123" s="34"/>
      <c r="E1123" s="34"/>
      <c r="F1123" s="34"/>
      <c r="G1123" s="34"/>
    </row>
    <row r="1124" spans="1:7" x14ac:dyDescent="0.3">
      <c r="A1124" s="34"/>
      <c r="B1124" s="34"/>
      <c r="C1124" s="34"/>
      <c r="D1124" s="34"/>
      <c r="E1124" s="34"/>
      <c r="F1124" s="34"/>
      <c r="G1124" s="34"/>
    </row>
    <row r="1125" spans="1:7" x14ac:dyDescent="0.3">
      <c r="A1125" s="34"/>
      <c r="B1125" s="34"/>
      <c r="C1125" s="34"/>
      <c r="D1125" s="34"/>
      <c r="E1125" s="34"/>
      <c r="F1125" s="34"/>
      <c r="G1125" s="34"/>
    </row>
    <row r="1126" spans="1:7" x14ac:dyDescent="0.3">
      <c r="A1126" s="34"/>
      <c r="B1126" s="34"/>
      <c r="C1126" s="34"/>
      <c r="D1126" s="34"/>
      <c r="E1126" s="34"/>
      <c r="F1126" s="34"/>
      <c r="G1126" s="34"/>
    </row>
    <row r="1127" spans="1:7" x14ac:dyDescent="0.3">
      <c r="A1127" s="34"/>
      <c r="B1127" s="34"/>
      <c r="C1127" s="34"/>
      <c r="D1127" s="34"/>
      <c r="E1127" s="34"/>
      <c r="F1127" s="34"/>
      <c r="G1127" s="34"/>
    </row>
    <row r="1128" spans="1:7" x14ac:dyDescent="0.3">
      <c r="A1128" s="34"/>
      <c r="B1128" s="34"/>
      <c r="C1128" s="34"/>
      <c r="D1128" s="34"/>
      <c r="E1128" s="34"/>
      <c r="F1128" s="34"/>
      <c r="G1128" s="34"/>
    </row>
    <row r="1129" spans="1:7" x14ac:dyDescent="0.3">
      <c r="A1129" s="34"/>
      <c r="B1129" s="34"/>
      <c r="C1129" s="34"/>
      <c r="D1129" s="34"/>
      <c r="E1129" s="34"/>
      <c r="F1129" s="34"/>
      <c r="G1129" s="34"/>
    </row>
    <row r="1130" spans="1:7" x14ac:dyDescent="0.3">
      <c r="A1130" s="34"/>
      <c r="B1130" s="34"/>
      <c r="C1130" s="34"/>
      <c r="D1130" s="34"/>
      <c r="E1130" s="34"/>
      <c r="F1130" s="34"/>
      <c r="G1130" s="34"/>
    </row>
    <row r="1131" spans="1:7" x14ac:dyDescent="0.3">
      <c r="A1131" s="34"/>
      <c r="B1131" s="34"/>
      <c r="C1131" s="34"/>
      <c r="D1131" s="34"/>
      <c r="E1131" s="34"/>
      <c r="F1131" s="34"/>
      <c r="G1131" s="34"/>
    </row>
    <row r="1132" spans="1:7" x14ac:dyDescent="0.3">
      <c r="A1132" s="34"/>
      <c r="B1132" s="34"/>
      <c r="C1132" s="34"/>
      <c r="D1132" s="34"/>
      <c r="E1132" s="34"/>
      <c r="F1132" s="34"/>
      <c r="G1132" s="34"/>
    </row>
    <row r="1133" spans="1:7" x14ac:dyDescent="0.3">
      <c r="A1133" s="34"/>
      <c r="B1133" s="34"/>
      <c r="C1133" s="34"/>
      <c r="D1133" s="34"/>
      <c r="E1133" s="34"/>
      <c r="F1133" s="34"/>
      <c r="G1133" s="34"/>
    </row>
    <row r="1134" spans="1:7" x14ac:dyDescent="0.3">
      <c r="A1134" s="34"/>
      <c r="B1134" s="34"/>
      <c r="C1134" s="34"/>
      <c r="D1134" s="34"/>
      <c r="E1134" s="34"/>
      <c r="F1134" s="34"/>
      <c r="G1134" s="34"/>
    </row>
    <row r="1135" spans="1:7" x14ac:dyDescent="0.3">
      <c r="A1135" s="34"/>
      <c r="B1135" s="34"/>
      <c r="C1135" s="34"/>
      <c r="D1135" s="34"/>
      <c r="E1135" s="34"/>
      <c r="F1135" s="34"/>
      <c r="G1135" s="34"/>
    </row>
    <row r="1136" spans="1:7" x14ac:dyDescent="0.3">
      <c r="A1136" s="34"/>
      <c r="B1136" s="34"/>
      <c r="C1136" s="34"/>
      <c r="D1136" s="34"/>
      <c r="E1136" s="34"/>
      <c r="F1136" s="34"/>
      <c r="G1136" s="34"/>
    </row>
    <row r="1137" spans="1:7" x14ac:dyDescent="0.3">
      <c r="A1137" s="34"/>
      <c r="B1137" s="34"/>
      <c r="C1137" s="34"/>
      <c r="D1137" s="34"/>
      <c r="E1137" s="34"/>
      <c r="F1137" s="34"/>
      <c r="G1137" s="34"/>
    </row>
    <row r="1138" spans="1:7" x14ac:dyDescent="0.3">
      <c r="A1138" s="34"/>
      <c r="B1138" s="34"/>
      <c r="C1138" s="34"/>
      <c r="D1138" s="34"/>
      <c r="E1138" s="34"/>
      <c r="F1138" s="34"/>
      <c r="G1138" s="34"/>
    </row>
    <row r="1139" spans="1:7" x14ac:dyDescent="0.3">
      <c r="A1139" s="34"/>
      <c r="B1139" s="34"/>
      <c r="C1139" s="34"/>
      <c r="D1139" s="34"/>
      <c r="E1139" s="34"/>
      <c r="F1139" s="34"/>
      <c r="G1139" s="34"/>
    </row>
    <row r="1140" spans="1:7" x14ac:dyDescent="0.3">
      <c r="A1140" s="34"/>
      <c r="B1140" s="34"/>
      <c r="C1140" s="34"/>
      <c r="D1140" s="34"/>
      <c r="E1140" s="34"/>
      <c r="F1140" s="34"/>
      <c r="G1140" s="34"/>
    </row>
    <row r="1141" spans="1:7" x14ac:dyDescent="0.3">
      <c r="A1141" s="34"/>
      <c r="B1141" s="34"/>
      <c r="C1141" s="34"/>
      <c r="D1141" s="34"/>
      <c r="E1141" s="34"/>
      <c r="F1141" s="34"/>
      <c r="G1141" s="34"/>
    </row>
    <row r="1142" spans="1:7" x14ac:dyDescent="0.3">
      <c r="A1142" s="34"/>
      <c r="B1142" s="34"/>
      <c r="C1142" s="34"/>
      <c r="D1142" s="34"/>
      <c r="E1142" s="34"/>
      <c r="F1142" s="34"/>
      <c r="G1142" s="34"/>
    </row>
    <row r="1143" spans="1:7" x14ac:dyDescent="0.3">
      <c r="A1143" s="34"/>
      <c r="B1143" s="34"/>
      <c r="C1143" s="34"/>
      <c r="D1143" s="34"/>
      <c r="E1143" s="34"/>
      <c r="F1143" s="34"/>
      <c r="G1143" s="34"/>
    </row>
    <row r="1144" spans="1:7" x14ac:dyDescent="0.3">
      <c r="A1144" s="34"/>
      <c r="B1144" s="34"/>
      <c r="C1144" s="34"/>
      <c r="D1144" s="34"/>
      <c r="E1144" s="34"/>
      <c r="F1144" s="34"/>
      <c r="G1144" s="34"/>
    </row>
    <row r="1145" spans="1:7" x14ac:dyDescent="0.3">
      <c r="A1145" s="34"/>
      <c r="B1145" s="34"/>
      <c r="C1145" s="34"/>
      <c r="D1145" s="34"/>
      <c r="E1145" s="34"/>
      <c r="F1145" s="34"/>
      <c r="G1145" s="34"/>
    </row>
    <row r="1146" spans="1:7" x14ac:dyDescent="0.3">
      <c r="A1146" s="34"/>
      <c r="B1146" s="34"/>
      <c r="C1146" s="34"/>
      <c r="D1146" s="34"/>
      <c r="E1146" s="34"/>
      <c r="F1146" s="34"/>
      <c r="G1146" s="34"/>
    </row>
    <row r="1147" spans="1:7" x14ac:dyDescent="0.3">
      <c r="A1147" s="34"/>
      <c r="B1147" s="34"/>
      <c r="C1147" s="34"/>
      <c r="D1147" s="34"/>
      <c r="E1147" s="34"/>
      <c r="F1147" s="34"/>
      <c r="G1147" s="34"/>
    </row>
    <row r="1148" spans="1:7" x14ac:dyDescent="0.3">
      <c r="A1148" s="34"/>
      <c r="B1148" s="34"/>
      <c r="C1148" s="34"/>
      <c r="D1148" s="34"/>
      <c r="E1148" s="34"/>
      <c r="F1148" s="34"/>
      <c r="G1148" s="34"/>
    </row>
    <row r="1149" spans="1:7" x14ac:dyDescent="0.3">
      <c r="A1149" s="34"/>
      <c r="B1149" s="34"/>
      <c r="C1149" s="34"/>
      <c r="D1149" s="34"/>
      <c r="E1149" s="34"/>
      <c r="F1149" s="34"/>
      <c r="G1149" s="34"/>
    </row>
    <row r="1150" spans="1:7" x14ac:dyDescent="0.3">
      <c r="A1150" s="34"/>
      <c r="B1150" s="34"/>
      <c r="C1150" s="34"/>
      <c r="D1150" s="34"/>
      <c r="E1150" s="34"/>
      <c r="F1150" s="34"/>
      <c r="G1150" s="34"/>
    </row>
    <row r="1151" spans="1:7" x14ac:dyDescent="0.3">
      <c r="A1151" s="34"/>
      <c r="B1151" s="34"/>
      <c r="C1151" s="34"/>
      <c r="D1151" s="34"/>
      <c r="E1151" s="34"/>
      <c r="F1151" s="34"/>
      <c r="G1151" s="34"/>
    </row>
    <row r="1152" spans="1:7" x14ac:dyDescent="0.3">
      <c r="A1152" s="34"/>
      <c r="B1152" s="34"/>
      <c r="C1152" s="34"/>
      <c r="D1152" s="34"/>
      <c r="E1152" s="34"/>
      <c r="F1152" s="34"/>
      <c r="G1152" s="34"/>
    </row>
    <row r="1153" spans="1:7" x14ac:dyDescent="0.3">
      <c r="A1153" s="34"/>
      <c r="B1153" s="34"/>
      <c r="C1153" s="34"/>
      <c r="D1153" s="34"/>
      <c r="E1153" s="34"/>
      <c r="F1153" s="34"/>
      <c r="G1153" s="34"/>
    </row>
    <row r="1154" spans="1:7" x14ac:dyDescent="0.3">
      <c r="A1154" s="34"/>
      <c r="B1154" s="34"/>
      <c r="C1154" s="34"/>
      <c r="D1154" s="34"/>
      <c r="E1154" s="34"/>
      <c r="F1154" s="34"/>
      <c r="G1154" s="34"/>
    </row>
    <row r="1155" spans="1:7" x14ac:dyDescent="0.3">
      <c r="A1155" s="34"/>
      <c r="B1155" s="34"/>
      <c r="C1155" s="34"/>
      <c r="D1155" s="34"/>
      <c r="E1155" s="34"/>
      <c r="F1155" s="34"/>
      <c r="G1155" s="34"/>
    </row>
    <row r="1156" spans="1:7" x14ac:dyDescent="0.3">
      <c r="A1156" s="34"/>
      <c r="B1156" s="34"/>
      <c r="C1156" s="34"/>
      <c r="D1156" s="34"/>
      <c r="E1156" s="34"/>
      <c r="F1156" s="34"/>
      <c r="G1156" s="34"/>
    </row>
    <row r="1157" spans="1:7" x14ac:dyDescent="0.3">
      <c r="A1157" s="34"/>
      <c r="B1157" s="34"/>
      <c r="C1157" s="34"/>
      <c r="D1157" s="34"/>
      <c r="E1157" s="34"/>
      <c r="F1157" s="34"/>
      <c r="G1157" s="34"/>
    </row>
    <row r="1158" spans="1:7" x14ac:dyDescent="0.3">
      <c r="A1158" s="34"/>
      <c r="B1158" s="34"/>
      <c r="C1158" s="34"/>
      <c r="D1158" s="34"/>
      <c r="E1158" s="34"/>
      <c r="F1158" s="34"/>
      <c r="G1158" s="34"/>
    </row>
    <row r="1159" spans="1:7" x14ac:dyDescent="0.3">
      <c r="A1159" s="34"/>
      <c r="B1159" s="34"/>
      <c r="C1159" s="34"/>
      <c r="D1159" s="34"/>
      <c r="E1159" s="34"/>
      <c r="F1159" s="34"/>
      <c r="G1159" s="34"/>
    </row>
    <row r="1160" spans="1:7" x14ac:dyDescent="0.3">
      <c r="A1160" s="34"/>
      <c r="B1160" s="34"/>
      <c r="C1160" s="34"/>
      <c r="D1160" s="34"/>
      <c r="E1160" s="34"/>
      <c r="F1160" s="34"/>
      <c r="G1160" s="34"/>
    </row>
    <row r="1161" spans="1:7" x14ac:dyDescent="0.3">
      <c r="A1161" s="34"/>
      <c r="B1161" s="34"/>
      <c r="C1161" s="34"/>
      <c r="D1161" s="34"/>
      <c r="E1161" s="34"/>
      <c r="F1161" s="34"/>
      <c r="G1161" s="34"/>
    </row>
    <row r="1162" spans="1:7" x14ac:dyDescent="0.3">
      <c r="A1162" s="34"/>
      <c r="B1162" s="34"/>
      <c r="C1162" s="34"/>
      <c r="D1162" s="34"/>
      <c r="E1162" s="34"/>
      <c r="F1162" s="34"/>
      <c r="G1162" s="34"/>
    </row>
    <row r="1163" spans="1:7" x14ac:dyDescent="0.3">
      <c r="A1163" s="34"/>
      <c r="B1163" s="34"/>
      <c r="C1163" s="34"/>
      <c r="D1163" s="34"/>
      <c r="E1163" s="34"/>
      <c r="F1163" s="34"/>
      <c r="G1163" s="34"/>
    </row>
    <row r="1164" spans="1:7" x14ac:dyDescent="0.3">
      <c r="A1164" s="34"/>
      <c r="B1164" s="34"/>
      <c r="C1164" s="34"/>
      <c r="D1164" s="34"/>
      <c r="E1164" s="34"/>
      <c r="F1164" s="34"/>
      <c r="G1164" s="34"/>
    </row>
    <row r="1165" spans="1:7" x14ac:dyDescent="0.3">
      <c r="A1165" s="34"/>
      <c r="B1165" s="34"/>
      <c r="C1165" s="34"/>
      <c r="D1165" s="34"/>
      <c r="E1165" s="34"/>
      <c r="F1165" s="34"/>
      <c r="G1165" s="34"/>
    </row>
    <row r="1166" spans="1:7" x14ac:dyDescent="0.3">
      <c r="A1166" s="34"/>
      <c r="B1166" s="34"/>
      <c r="C1166" s="34"/>
      <c r="D1166" s="34"/>
      <c r="E1166" s="34"/>
      <c r="F1166" s="34"/>
      <c r="G1166" s="34"/>
    </row>
    <row r="1167" spans="1:7" x14ac:dyDescent="0.3">
      <c r="A1167" s="34"/>
      <c r="B1167" s="34"/>
      <c r="C1167" s="34"/>
      <c r="D1167" s="34"/>
      <c r="E1167" s="34"/>
      <c r="F1167" s="34"/>
      <c r="G1167" s="34"/>
    </row>
    <row r="1168" spans="1:7" x14ac:dyDescent="0.3">
      <c r="A1168" s="34"/>
      <c r="B1168" s="34"/>
      <c r="C1168" s="34"/>
      <c r="D1168" s="34"/>
      <c r="E1168" s="34"/>
      <c r="F1168" s="34"/>
      <c r="G1168" s="34"/>
    </row>
    <row r="1169" spans="1:7" x14ac:dyDescent="0.3">
      <c r="A1169" s="34"/>
      <c r="B1169" s="34"/>
      <c r="C1169" s="34"/>
      <c r="D1169" s="34"/>
      <c r="E1169" s="34"/>
      <c r="F1169" s="34"/>
      <c r="G1169" s="34"/>
    </row>
    <row r="1170" spans="1:7" x14ac:dyDescent="0.3">
      <c r="A1170" s="34"/>
      <c r="B1170" s="34"/>
      <c r="C1170" s="34"/>
      <c r="D1170" s="34"/>
      <c r="E1170" s="34"/>
      <c r="F1170" s="34"/>
      <c r="G1170" s="34"/>
    </row>
    <row r="1171" spans="1:7" x14ac:dyDescent="0.3">
      <c r="A1171" s="34"/>
      <c r="B1171" s="34"/>
      <c r="C1171" s="34"/>
      <c r="D1171" s="34"/>
      <c r="E1171" s="34"/>
      <c r="F1171" s="34"/>
      <c r="G1171" s="34"/>
    </row>
    <row r="1172" spans="1:7" x14ac:dyDescent="0.3">
      <c r="A1172" s="34"/>
      <c r="B1172" s="34"/>
      <c r="C1172" s="34"/>
      <c r="D1172" s="34"/>
      <c r="E1172" s="34"/>
      <c r="F1172" s="34"/>
      <c r="G1172" s="34"/>
    </row>
    <row r="1173" spans="1:7" x14ac:dyDescent="0.3">
      <c r="A1173" s="34"/>
      <c r="B1173" s="34"/>
      <c r="C1173" s="34"/>
      <c r="D1173" s="34"/>
      <c r="E1173" s="34"/>
      <c r="F1173" s="34"/>
      <c r="G1173" s="34"/>
    </row>
    <row r="1174" spans="1:7" x14ac:dyDescent="0.3">
      <c r="A1174" s="34"/>
      <c r="B1174" s="34"/>
      <c r="C1174" s="34"/>
      <c r="D1174" s="34"/>
      <c r="E1174" s="34"/>
      <c r="F1174" s="34"/>
      <c r="G1174" s="34"/>
    </row>
    <row r="1175" spans="1:7" x14ac:dyDescent="0.3">
      <c r="A1175" s="34"/>
      <c r="B1175" s="34"/>
      <c r="C1175" s="34"/>
      <c r="D1175" s="34"/>
      <c r="E1175" s="34"/>
      <c r="F1175" s="34"/>
      <c r="G1175" s="34"/>
    </row>
    <row r="1176" spans="1:7" x14ac:dyDescent="0.3">
      <c r="A1176" s="34"/>
      <c r="B1176" s="34"/>
      <c r="C1176" s="34"/>
      <c r="D1176" s="34"/>
      <c r="E1176" s="34"/>
      <c r="F1176" s="34"/>
      <c r="G1176" s="34"/>
    </row>
    <row r="1177" spans="1:7" x14ac:dyDescent="0.3">
      <c r="A1177" s="34"/>
      <c r="B1177" s="34"/>
      <c r="C1177" s="34"/>
      <c r="D1177" s="34"/>
      <c r="E1177" s="34"/>
      <c r="F1177" s="34"/>
      <c r="G1177" s="34"/>
    </row>
    <row r="1178" spans="1:7" x14ac:dyDescent="0.3">
      <c r="A1178" s="34"/>
      <c r="B1178" s="34"/>
      <c r="C1178" s="34"/>
      <c r="D1178" s="34"/>
      <c r="E1178" s="34"/>
      <c r="F1178" s="34"/>
      <c r="G1178" s="34"/>
    </row>
    <row r="1179" spans="1:7" x14ac:dyDescent="0.3">
      <c r="A1179" s="34"/>
      <c r="B1179" s="34"/>
      <c r="C1179" s="34"/>
      <c r="D1179" s="34"/>
      <c r="E1179" s="34"/>
      <c r="F1179" s="34"/>
      <c r="G1179" s="34"/>
    </row>
    <row r="1180" spans="1:7" x14ac:dyDescent="0.3">
      <c r="A1180" s="34"/>
      <c r="B1180" s="34"/>
      <c r="C1180" s="34"/>
      <c r="D1180" s="34"/>
      <c r="E1180" s="34"/>
      <c r="F1180" s="34"/>
      <c r="G1180" s="34"/>
    </row>
    <row r="1181" spans="1:7" x14ac:dyDescent="0.3">
      <c r="A1181" s="34"/>
      <c r="B1181" s="34"/>
      <c r="C1181" s="34"/>
      <c r="D1181" s="34"/>
      <c r="E1181" s="34"/>
      <c r="F1181" s="34"/>
      <c r="G1181" s="34"/>
    </row>
    <row r="1182" spans="1:7" x14ac:dyDescent="0.3">
      <c r="A1182" s="34"/>
      <c r="B1182" s="34"/>
      <c r="C1182" s="34"/>
      <c r="D1182" s="34"/>
      <c r="E1182" s="34"/>
      <c r="F1182" s="34"/>
      <c r="G1182" s="34"/>
    </row>
    <row r="1183" spans="1:7" x14ac:dyDescent="0.3">
      <c r="A1183" s="34"/>
      <c r="B1183" s="34"/>
      <c r="C1183" s="34"/>
      <c r="D1183" s="34"/>
      <c r="E1183" s="34"/>
      <c r="F1183" s="34"/>
      <c r="G1183" s="34"/>
    </row>
    <row r="1184" spans="1:7" x14ac:dyDescent="0.3">
      <c r="A1184" s="34"/>
      <c r="B1184" s="34"/>
      <c r="C1184" s="34"/>
      <c r="D1184" s="34"/>
      <c r="E1184" s="34"/>
      <c r="F1184" s="34"/>
      <c r="G1184" s="34"/>
    </row>
    <row r="1185" spans="1:7" x14ac:dyDescent="0.3">
      <c r="A1185" s="34"/>
      <c r="B1185" s="34"/>
      <c r="C1185" s="34"/>
      <c r="D1185" s="34"/>
      <c r="E1185" s="34"/>
      <c r="F1185" s="34"/>
      <c r="G1185" s="34"/>
    </row>
    <row r="1186" spans="1:7" x14ac:dyDescent="0.3">
      <c r="A1186" s="34"/>
      <c r="B1186" s="34"/>
      <c r="C1186" s="34"/>
      <c r="D1186" s="34"/>
      <c r="E1186" s="34"/>
      <c r="F1186" s="34"/>
      <c r="G1186" s="34"/>
    </row>
    <row r="1187" spans="1:7" x14ac:dyDescent="0.3">
      <c r="A1187" s="34"/>
      <c r="B1187" s="34"/>
      <c r="C1187" s="34"/>
      <c r="D1187" s="34"/>
      <c r="E1187" s="34"/>
      <c r="F1187" s="34"/>
      <c r="G1187" s="34"/>
    </row>
    <row r="1188" spans="1:7" x14ac:dyDescent="0.3">
      <c r="A1188" s="34"/>
      <c r="B1188" s="34"/>
      <c r="C1188" s="34"/>
      <c r="D1188" s="34"/>
      <c r="E1188" s="34"/>
      <c r="F1188" s="34"/>
      <c r="G1188" s="34"/>
    </row>
    <row r="1189" spans="1:7" x14ac:dyDescent="0.3">
      <c r="A1189" s="34"/>
      <c r="B1189" s="34"/>
      <c r="C1189" s="34"/>
      <c r="D1189" s="34"/>
      <c r="E1189" s="34"/>
      <c r="F1189" s="34"/>
      <c r="G1189" s="34"/>
    </row>
    <row r="1190" spans="1:7" x14ac:dyDescent="0.3">
      <c r="A1190" s="34"/>
      <c r="B1190" s="34"/>
      <c r="C1190" s="34"/>
      <c r="D1190" s="34"/>
      <c r="E1190" s="34"/>
      <c r="F1190" s="34"/>
      <c r="G1190" s="34"/>
    </row>
    <row r="1191" spans="1:7" x14ac:dyDescent="0.3">
      <c r="A1191" s="34"/>
      <c r="B1191" s="34"/>
      <c r="C1191" s="34"/>
      <c r="D1191" s="34"/>
      <c r="E1191" s="34"/>
      <c r="F1191" s="34"/>
      <c r="G1191" s="34"/>
    </row>
    <row r="1192" spans="1:7" x14ac:dyDescent="0.3">
      <c r="A1192" s="34"/>
      <c r="B1192" s="34"/>
      <c r="C1192" s="34"/>
      <c r="D1192" s="34"/>
      <c r="E1192" s="34"/>
      <c r="F1192" s="34"/>
      <c r="G1192" s="34"/>
    </row>
    <row r="1193" spans="1:7" x14ac:dyDescent="0.3">
      <c r="A1193" s="34"/>
      <c r="B1193" s="34"/>
      <c r="C1193" s="34"/>
      <c r="D1193" s="34"/>
      <c r="E1193" s="34"/>
      <c r="F1193" s="34"/>
      <c r="G1193" s="34"/>
    </row>
    <row r="1194" spans="1:7" x14ac:dyDescent="0.3">
      <c r="A1194" s="34"/>
      <c r="B1194" s="34"/>
      <c r="C1194" s="34"/>
      <c r="D1194" s="34"/>
      <c r="E1194" s="34"/>
      <c r="F1194" s="34"/>
      <c r="G1194" s="34"/>
    </row>
    <row r="1195" spans="1:7" x14ac:dyDescent="0.3">
      <c r="A1195" s="34"/>
      <c r="B1195" s="34"/>
      <c r="C1195" s="34"/>
      <c r="D1195" s="34"/>
      <c r="E1195" s="34"/>
      <c r="F1195" s="34"/>
      <c r="G1195" s="34"/>
    </row>
    <row r="1196" spans="1:7" x14ac:dyDescent="0.3">
      <c r="A1196" s="34"/>
      <c r="B1196" s="34"/>
      <c r="C1196" s="34"/>
      <c r="D1196" s="34"/>
      <c r="E1196" s="34"/>
      <c r="F1196" s="34"/>
      <c r="G1196" s="34"/>
    </row>
    <row r="1197" spans="1:7" x14ac:dyDescent="0.3">
      <c r="A1197" s="34"/>
      <c r="B1197" s="34"/>
      <c r="C1197" s="34"/>
      <c r="D1197" s="34"/>
      <c r="E1197" s="34"/>
      <c r="F1197" s="34"/>
      <c r="G1197" s="34"/>
    </row>
    <row r="1198" spans="1:7" x14ac:dyDescent="0.3">
      <c r="A1198" s="34"/>
      <c r="B1198" s="34"/>
      <c r="C1198" s="34"/>
      <c r="D1198" s="34"/>
      <c r="E1198" s="34"/>
      <c r="F1198" s="34"/>
      <c r="G1198" s="34"/>
    </row>
    <row r="1199" spans="1:7" x14ac:dyDescent="0.3">
      <c r="A1199" s="34"/>
      <c r="B1199" s="34"/>
      <c r="C1199" s="34"/>
      <c r="D1199" s="34"/>
      <c r="E1199" s="34"/>
      <c r="F1199" s="34"/>
      <c r="G1199" s="34"/>
    </row>
    <row r="1200" spans="1:7" x14ac:dyDescent="0.3">
      <c r="A1200" s="34"/>
      <c r="B1200" s="34"/>
      <c r="C1200" s="34"/>
      <c r="D1200" s="34"/>
      <c r="E1200" s="34"/>
      <c r="F1200" s="34"/>
      <c r="G1200" s="34"/>
    </row>
    <row r="1201" spans="1:7" x14ac:dyDescent="0.3">
      <c r="A1201" s="34"/>
      <c r="B1201" s="34"/>
      <c r="C1201" s="34"/>
      <c r="D1201" s="34"/>
      <c r="E1201" s="34"/>
      <c r="F1201" s="34"/>
      <c r="G1201" s="34"/>
    </row>
    <row r="1202" spans="1:7" x14ac:dyDescent="0.3">
      <c r="A1202" s="34"/>
      <c r="B1202" s="34"/>
      <c r="C1202" s="34"/>
      <c r="D1202" s="34"/>
      <c r="E1202" s="34"/>
      <c r="F1202" s="34"/>
      <c r="G1202" s="34"/>
    </row>
    <row r="1203" spans="1:7" x14ac:dyDescent="0.3">
      <c r="A1203" s="34"/>
      <c r="B1203" s="34"/>
      <c r="C1203" s="34"/>
      <c r="D1203" s="34"/>
      <c r="E1203" s="34"/>
      <c r="F1203" s="34"/>
      <c r="G1203" s="34"/>
    </row>
    <row r="1204" spans="1:7" x14ac:dyDescent="0.3">
      <c r="A1204" s="34"/>
      <c r="B1204" s="34"/>
      <c r="C1204" s="34"/>
      <c r="D1204" s="34"/>
      <c r="E1204" s="34"/>
      <c r="F1204" s="34"/>
      <c r="G1204" s="34"/>
    </row>
    <row r="1205" spans="1:7" x14ac:dyDescent="0.3">
      <c r="A1205" s="34"/>
      <c r="B1205" s="34"/>
      <c r="C1205" s="34"/>
      <c r="D1205" s="34"/>
      <c r="E1205" s="34"/>
      <c r="F1205" s="34"/>
      <c r="G1205" s="34"/>
    </row>
    <row r="1206" spans="1:7" x14ac:dyDescent="0.3">
      <c r="A1206" s="34"/>
      <c r="B1206" s="34"/>
      <c r="C1206" s="34"/>
      <c r="D1206" s="34"/>
      <c r="E1206" s="34"/>
      <c r="F1206" s="34"/>
      <c r="G1206" s="34"/>
    </row>
    <row r="1207" spans="1:7" x14ac:dyDescent="0.3">
      <c r="A1207" s="34"/>
      <c r="B1207" s="34"/>
      <c r="C1207" s="34"/>
      <c r="D1207" s="34"/>
      <c r="E1207" s="34"/>
      <c r="F1207" s="34"/>
      <c r="G1207" s="34"/>
    </row>
    <row r="1208" spans="1:7" x14ac:dyDescent="0.3">
      <c r="A1208" s="34"/>
      <c r="B1208" s="34"/>
      <c r="C1208" s="34"/>
      <c r="D1208" s="34"/>
      <c r="E1208" s="34"/>
      <c r="F1208" s="34"/>
      <c r="G1208" s="34"/>
    </row>
    <row r="1209" spans="1:7" x14ac:dyDescent="0.3">
      <c r="A1209" s="34"/>
      <c r="B1209" s="34"/>
      <c r="C1209" s="34"/>
      <c r="D1209" s="34"/>
      <c r="E1209" s="34"/>
      <c r="F1209" s="34"/>
      <c r="G1209" s="34"/>
    </row>
    <row r="1210" spans="1:7" x14ac:dyDescent="0.3">
      <c r="A1210" s="34"/>
      <c r="B1210" s="34"/>
      <c r="C1210" s="34"/>
      <c r="D1210" s="34"/>
      <c r="E1210" s="34"/>
      <c r="F1210" s="34"/>
      <c r="G1210" s="34"/>
    </row>
    <row r="1211" spans="1:7" x14ac:dyDescent="0.3">
      <c r="A1211" s="34"/>
      <c r="B1211" s="34"/>
      <c r="C1211" s="34"/>
      <c r="D1211" s="34"/>
      <c r="E1211" s="34"/>
      <c r="F1211" s="34"/>
      <c r="G1211" s="34"/>
    </row>
    <row r="1212" spans="1:7" x14ac:dyDescent="0.3">
      <c r="A1212" s="34"/>
      <c r="B1212" s="34"/>
      <c r="C1212" s="34"/>
      <c r="D1212" s="34"/>
      <c r="E1212" s="34"/>
      <c r="F1212" s="34"/>
      <c r="G1212" s="34"/>
    </row>
    <row r="1213" spans="1:7" x14ac:dyDescent="0.3">
      <c r="A1213" s="34"/>
      <c r="B1213" s="34"/>
      <c r="C1213" s="34"/>
      <c r="D1213" s="34"/>
      <c r="E1213" s="34"/>
      <c r="F1213" s="34"/>
      <c r="G1213" s="34"/>
    </row>
    <row r="1214" spans="1:7" x14ac:dyDescent="0.3">
      <c r="A1214" s="34"/>
      <c r="B1214" s="34"/>
      <c r="C1214" s="34"/>
      <c r="D1214" s="34"/>
      <c r="E1214" s="34"/>
      <c r="F1214" s="34"/>
      <c r="G1214" s="34"/>
    </row>
    <row r="1215" spans="1:7" x14ac:dyDescent="0.3">
      <c r="A1215" s="34"/>
      <c r="B1215" s="34"/>
      <c r="C1215" s="34"/>
      <c r="D1215" s="34"/>
      <c r="E1215" s="34"/>
      <c r="F1215" s="34"/>
      <c r="G1215" s="34"/>
    </row>
    <row r="1216" spans="1:7" x14ac:dyDescent="0.3">
      <c r="A1216" s="34"/>
      <c r="B1216" s="34"/>
      <c r="C1216" s="34"/>
      <c r="D1216" s="34"/>
      <c r="E1216" s="34"/>
      <c r="F1216" s="34"/>
      <c r="G1216" s="34"/>
    </row>
    <row r="1217" spans="1:7" x14ac:dyDescent="0.3">
      <c r="A1217" s="34"/>
      <c r="B1217" s="34"/>
      <c r="C1217" s="34"/>
      <c r="D1217" s="34"/>
      <c r="E1217" s="34"/>
      <c r="F1217" s="34"/>
      <c r="G1217" s="34"/>
    </row>
    <row r="1218" spans="1:7" x14ac:dyDescent="0.3">
      <c r="A1218" s="34"/>
      <c r="B1218" s="34"/>
      <c r="C1218" s="34"/>
      <c r="D1218" s="34"/>
      <c r="E1218" s="34"/>
      <c r="F1218" s="34"/>
      <c r="G1218" s="34"/>
    </row>
    <row r="1219" spans="1:7" x14ac:dyDescent="0.3">
      <c r="A1219" s="34"/>
      <c r="B1219" s="34"/>
      <c r="C1219" s="34"/>
      <c r="D1219" s="34"/>
      <c r="E1219" s="34"/>
      <c r="F1219" s="34"/>
      <c r="G1219" s="34"/>
    </row>
    <row r="1220" spans="1:7" x14ac:dyDescent="0.3">
      <c r="A1220" s="34"/>
      <c r="B1220" s="34"/>
      <c r="C1220" s="34"/>
      <c r="D1220" s="34"/>
      <c r="E1220" s="34"/>
      <c r="F1220" s="34"/>
      <c r="G1220" s="34"/>
    </row>
    <row r="1221" spans="1:7" x14ac:dyDescent="0.3">
      <c r="A1221" s="34"/>
      <c r="B1221" s="34"/>
      <c r="C1221" s="34"/>
      <c r="D1221" s="34"/>
      <c r="E1221" s="34"/>
      <c r="F1221" s="34"/>
      <c r="G1221" s="34"/>
    </row>
    <row r="1222" spans="1:7" x14ac:dyDescent="0.3">
      <c r="A1222" s="34"/>
      <c r="B1222" s="34"/>
      <c r="C1222" s="34"/>
      <c r="D1222" s="34"/>
      <c r="E1222" s="34"/>
      <c r="F1222" s="34"/>
      <c r="G1222" s="34"/>
    </row>
    <row r="1223" spans="1:7" x14ac:dyDescent="0.3">
      <c r="A1223" s="34"/>
      <c r="B1223" s="34"/>
      <c r="C1223" s="34"/>
      <c r="D1223" s="34"/>
      <c r="E1223" s="34"/>
      <c r="F1223" s="34"/>
      <c r="G1223" s="34"/>
    </row>
    <row r="1224" spans="1:7" x14ac:dyDescent="0.3">
      <c r="A1224" s="34"/>
      <c r="B1224" s="34"/>
      <c r="C1224" s="34"/>
      <c r="D1224" s="34"/>
      <c r="E1224" s="34"/>
      <c r="F1224" s="34"/>
      <c r="G1224" s="34"/>
    </row>
    <row r="1225" spans="1:7" x14ac:dyDescent="0.3">
      <c r="A1225" s="34"/>
      <c r="B1225" s="34"/>
      <c r="C1225" s="34"/>
      <c r="D1225" s="34"/>
      <c r="E1225" s="34"/>
      <c r="F1225" s="34"/>
      <c r="G1225" s="34"/>
    </row>
    <row r="1226" spans="1:7" x14ac:dyDescent="0.3">
      <c r="A1226" s="34"/>
      <c r="B1226" s="34"/>
      <c r="C1226" s="34"/>
      <c r="D1226" s="34"/>
      <c r="E1226" s="34"/>
      <c r="F1226" s="34"/>
      <c r="G1226" s="34"/>
    </row>
    <row r="1227" spans="1:7" x14ac:dyDescent="0.3">
      <c r="A1227" s="34"/>
      <c r="B1227" s="34"/>
      <c r="C1227" s="34"/>
      <c r="D1227" s="34"/>
      <c r="E1227" s="34"/>
      <c r="F1227" s="34"/>
      <c r="G1227" s="34"/>
    </row>
    <row r="1228" spans="1:7" x14ac:dyDescent="0.3">
      <c r="A1228" s="34"/>
      <c r="B1228" s="34"/>
      <c r="C1228" s="34"/>
      <c r="D1228" s="34"/>
      <c r="E1228" s="34"/>
      <c r="F1228" s="34"/>
      <c r="G1228" s="34"/>
    </row>
    <row r="1229" spans="1:7" x14ac:dyDescent="0.3">
      <c r="A1229" s="34"/>
      <c r="B1229" s="34"/>
      <c r="C1229" s="34"/>
      <c r="D1229" s="34"/>
      <c r="E1229" s="34"/>
      <c r="F1229" s="34"/>
      <c r="G1229" s="34"/>
    </row>
    <row r="1230" spans="1:7" x14ac:dyDescent="0.3">
      <c r="A1230" s="34"/>
      <c r="B1230" s="34"/>
      <c r="C1230" s="34"/>
      <c r="D1230" s="34"/>
      <c r="E1230" s="34"/>
      <c r="F1230" s="34"/>
      <c r="G1230" s="34"/>
    </row>
    <row r="1231" spans="1:7" x14ac:dyDescent="0.3">
      <c r="A1231" s="34"/>
      <c r="B1231" s="34"/>
      <c r="C1231" s="34"/>
      <c r="D1231" s="34"/>
      <c r="E1231" s="34"/>
      <c r="F1231" s="34"/>
      <c r="G1231" s="34"/>
    </row>
    <row r="1232" spans="1:7" x14ac:dyDescent="0.3">
      <c r="A1232" s="34"/>
      <c r="B1232" s="34"/>
      <c r="C1232" s="34"/>
      <c r="D1232" s="34"/>
      <c r="E1232" s="34"/>
      <c r="F1232" s="34"/>
      <c r="G1232" s="34"/>
    </row>
    <row r="1233" spans="1:7" x14ac:dyDescent="0.3">
      <c r="A1233" s="34"/>
      <c r="B1233" s="34"/>
      <c r="C1233" s="34"/>
      <c r="D1233" s="34"/>
      <c r="E1233" s="34"/>
      <c r="F1233" s="34"/>
      <c r="G1233" s="34"/>
    </row>
    <row r="1234" spans="1:7" x14ac:dyDescent="0.3">
      <c r="A1234" s="34"/>
      <c r="B1234" s="34"/>
      <c r="C1234" s="34"/>
      <c r="D1234" s="34"/>
      <c r="E1234" s="34"/>
      <c r="F1234" s="34"/>
      <c r="G1234" s="34"/>
    </row>
    <row r="1235" spans="1:7" x14ac:dyDescent="0.3">
      <c r="A1235" s="34"/>
      <c r="B1235" s="34"/>
      <c r="C1235" s="34"/>
      <c r="D1235" s="34"/>
      <c r="E1235" s="34"/>
      <c r="F1235" s="34"/>
      <c r="G1235" s="34"/>
    </row>
    <row r="1236" spans="1:7" x14ac:dyDescent="0.3">
      <c r="A1236" s="34"/>
      <c r="B1236" s="34"/>
      <c r="C1236" s="34"/>
      <c r="D1236" s="34"/>
      <c r="E1236" s="34"/>
      <c r="F1236" s="34"/>
      <c r="G1236" s="34"/>
    </row>
    <row r="1237" spans="1:7" x14ac:dyDescent="0.3">
      <c r="A1237" s="34"/>
      <c r="B1237" s="34"/>
      <c r="C1237" s="34"/>
      <c r="D1237" s="34"/>
      <c r="E1237" s="34"/>
      <c r="F1237" s="34"/>
      <c r="G1237" s="34"/>
    </row>
    <row r="1238" spans="1:7" x14ac:dyDescent="0.3">
      <c r="A1238" s="34"/>
      <c r="B1238" s="34"/>
      <c r="C1238" s="34"/>
      <c r="D1238" s="34"/>
      <c r="E1238" s="34"/>
      <c r="F1238" s="34"/>
      <c r="G1238" s="34"/>
    </row>
    <row r="1239" spans="1:7" x14ac:dyDescent="0.3">
      <c r="A1239" s="34"/>
      <c r="B1239" s="34"/>
      <c r="C1239" s="34"/>
      <c r="D1239" s="34"/>
      <c r="E1239" s="34"/>
      <c r="F1239" s="34"/>
      <c r="G1239" s="34"/>
    </row>
    <row r="1240" spans="1:7" x14ac:dyDescent="0.3">
      <c r="A1240" s="34"/>
      <c r="B1240" s="34"/>
      <c r="C1240" s="34"/>
      <c r="D1240" s="34"/>
      <c r="E1240" s="34"/>
      <c r="F1240" s="34"/>
      <c r="G1240" s="34"/>
    </row>
    <row r="1241" spans="1:7" x14ac:dyDescent="0.3">
      <c r="A1241" s="34"/>
      <c r="B1241" s="34"/>
      <c r="C1241" s="34"/>
      <c r="D1241" s="34"/>
      <c r="E1241" s="34"/>
      <c r="F1241" s="34"/>
      <c r="G1241" s="34"/>
    </row>
    <row r="1242" spans="1:7" x14ac:dyDescent="0.3">
      <c r="A1242" s="34"/>
      <c r="B1242" s="34"/>
      <c r="C1242" s="34"/>
      <c r="D1242" s="34"/>
      <c r="E1242" s="34"/>
      <c r="F1242" s="34"/>
      <c r="G1242" s="34"/>
    </row>
    <row r="1243" spans="1:7" x14ac:dyDescent="0.3">
      <c r="A1243" s="34"/>
      <c r="B1243" s="34"/>
      <c r="C1243" s="34"/>
      <c r="D1243" s="34"/>
      <c r="E1243" s="34"/>
      <c r="F1243" s="34"/>
      <c r="G1243" s="34"/>
    </row>
    <row r="1244" spans="1:7" x14ac:dyDescent="0.3">
      <c r="A1244" s="34"/>
      <c r="B1244" s="34"/>
      <c r="C1244" s="34"/>
      <c r="D1244" s="34"/>
      <c r="E1244" s="34"/>
      <c r="F1244" s="34"/>
      <c r="G1244" s="34"/>
    </row>
    <row r="1245" spans="1:7" x14ac:dyDescent="0.3">
      <c r="A1245" s="34"/>
      <c r="B1245" s="34"/>
      <c r="C1245" s="34"/>
      <c r="D1245" s="34"/>
      <c r="E1245" s="34"/>
      <c r="F1245" s="34"/>
      <c r="G1245" s="34"/>
    </row>
    <row r="1246" spans="1:7" x14ac:dyDescent="0.3">
      <c r="A1246" s="34"/>
      <c r="B1246" s="34"/>
      <c r="C1246" s="34"/>
      <c r="D1246" s="34"/>
      <c r="E1246" s="34"/>
      <c r="F1246" s="34"/>
      <c r="G1246" s="34"/>
    </row>
    <row r="1247" spans="1:7" x14ac:dyDescent="0.3">
      <c r="A1247" s="34"/>
      <c r="B1247" s="34"/>
      <c r="C1247" s="34"/>
      <c r="D1247" s="34"/>
      <c r="E1247" s="34"/>
      <c r="F1247" s="34"/>
      <c r="G1247" s="34"/>
    </row>
    <row r="1248" spans="1:7" x14ac:dyDescent="0.3">
      <c r="A1248" s="34"/>
      <c r="B1248" s="34"/>
      <c r="C1248" s="34"/>
      <c r="D1248" s="34"/>
      <c r="E1248" s="34"/>
      <c r="F1248" s="34"/>
      <c r="G1248" s="34"/>
    </row>
    <row r="1249" spans="1:7" x14ac:dyDescent="0.3">
      <c r="A1249" s="34"/>
      <c r="B1249" s="34"/>
      <c r="C1249" s="34"/>
      <c r="D1249" s="34"/>
      <c r="E1249" s="34"/>
      <c r="F1249" s="34"/>
      <c r="G1249" s="34"/>
    </row>
    <row r="1250" spans="1:7" x14ac:dyDescent="0.3">
      <c r="A1250" s="34"/>
      <c r="B1250" s="34"/>
      <c r="C1250" s="34"/>
      <c r="D1250" s="34"/>
      <c r="E1250" s="34"/>
      <c r="F1250" s="34"/>
      <c r="G1250" s="34"/>
    </row>
    <row r="1251" spans="1:7" x14ac:dyDescent="0.3">
      <c r="A1251" s="34"/>
      <c r="B1251" s="34"/>
      <c r="C1251" s="34"/>
      <c r="D1251" s="34"/>
      <c r="E1251" s="34"/>
      <c r="F1251" s="34"/>
      <c r="G1251" s="34"/>
    </row>
    <row r="1252" spans="1:7" x14ac:dyDescent="0.3">
      <c r="A1252" s="34"/>
      <c r="B1252" s="34"/>
      <c r="C1252" s="34"/>
      <c r="D1252" s="34"/>
      <c r="E1252" s="34"/>
      <c r="F1252" s="34"/>
      <c r="G1252" s="34"/>
    </row>
    <row r="1253" spans="1:7" x14ac:dyDescent="0.3">
      <c r="A1253" s="34"/>
      <c r="B1253" s="34"/>
      <c r="C1253" s="34"/>
      <c r="D1253" s="34"/>
      <c r="E1253" s="34"/>
      <c r="F1253" s="34"/>
      <c r="G1253" s="34"/>
    </row>
    <row r="1254" spans="1:7" x14ac:dyDescent="0.3">
      <c r="A1254" s="34"/>
      <c r="B1254" s="34"/>
      <c r="C1254" s="34"/>
      <c r="D1254" s="34"/>
      <c r="E1254" s="34"/>
      <c r="F1254" s="34"/>
      <c r="G1254" s="34"/>
    </row>
    <row r="1255" spans="1:7" x14ac:dyDescent="0.3">
      <c r="A1255" s="34"/>
      <c r="B1255" s="34"/>
      <c r="C1255" s="34"/>
      <c r="D1255" s="34"/>
      <c r="E1255" s="34"/>
      <c r="F1255" s="34"/>
      <c r="G1255" s="34"/>
    </row>
    <row r="1256" spans="1:7" x14ac:dyDescent="0.3">
      <c r="A1256" s="34"/>
      <c r="B1256" s="34"/>
      <c r="C1256" s="34"/>
      <c r="D1256" s="34"/>
      <c r="E1256" s="34"/>
      <c r="F1256" s="34"/>
      <c r="G1256" s="34"/>
    </row>
    <row r="1257" spans="1:7" x14ac:dyDescent="0.3">
      <c r="A1257" s="34"/>
      <c r="B1257" s="34"/>
      <c r="C1257" s="34"/>
      <c r="D1257" s="34"/>
      <c r="E1257" s="34"/>
      <c r="F1257" s="34"/>
      <c r="G1257" s="34"/>
    </row>
    <row r="1258" spans="1:7" x14ac:dyDescent="0.3">
      <c r="A1258" s="34"/>
      <c r="B1258" s="34"/>
      <c r="C1258" s="34"/>
      <c r="D1258" s="34"/>
      <c r="E1258" s="34"/>
      <c r="F1258" s="34"/>
      <c r="G1258" s="34"/>
    </row>
    <row r="1259" spans="1:7" x14ac:dyDescent="0.3">
      <c r="A1259" s="34"/>
      <c r="B1259" s="34"/>
      <c r="C1259" s="34"/>
      <c r="D1259" s="34"/>
      <c r="E1259" s="34"/>
      <c r="F1259" s="34"/>
      <c r="G1259" s="34"/>
    </row>
    <row r="1260" spans="1:7" x14ac:dyDescent="0.3">
      <c r="A1260" s="34"/>
      <c r="B1260" s="34"/>
      <c r="C1260" s="34"/>
      <c r="D1260" s="34"/>
      <c r="E1260" s="34"/>
      <c r="F1260" s="34"/>
      <c r="G1260" s="34"/>
    </row>
    <row r="1261" spans="1:7" x14ac:dyDescent="0.3">
      <c r="A1261" s="34"/>
      <c r="B1261" s="34"/>
      <c r="C1261" s="34"/>
      <c r="D1261" s="34"/>
      <c r="E1261" s="34"/>
      <c r="F1261" s="34"/>
      <c r="G1261" s="34"/>
    </row>
    <row r="1262" spans="1:7" x14ac:dyDescent="0.3">
      <c r="A1262" s="34"/>
      <c r="B1262" s="34"/>
      <c r="C1262" s="34"/>
      <c r="D1262" s="34"/>
      <c r="E1262" s="34"/>
      <c r="F1262" s="34"/>
      <c r="G1262" s="34"/>
    </row>
    <row r="1263" spans="1:7" x14ac:dyDescent="0.3">
      <c r="A1263" s="34"/>
      <c r="B1263" s="34"/>
      <c r="C1263" s="34"/>
      <c r="D1263" s="34"/>
      <c r="E1263" s="34"/>
      <c r="F1263" s="34"/>
      <c r="G1263" s="34"/>
    </row>
    <row r="1264" spans="1:7" x14ac:dyDescent="0.3">
      <c r="A1264" s="34"/>
      <c r="B1264" s="34"/>
      <c r="C1264" s="34"/>
      <c r="D1264" s="34"/>
      <c r="E1264" s="34"/>
      <c r="F1264" s="34"/>
      <c r="G1264" s="34"/>
    </row>
    <row r="1265" spans="1:7" x14ac:dyDescent="0.3">
      <c r="A1265" s="34"/>
      <c r="B1265" s="34"/>
      <c r="C1265" s="34"/>
      <c r="D1265" s="34"/>
      <c r="E1265" s="34"/>
      <c r="F1265" s="34"/>
      <c r="G1265" s="34"/>
    </row>
    <row r="1266" spans="1:7" x14ac:dyDescent="0.3">
      <c r="A1266" s="34"/>
      <c r="B1266" s="34"/>
      <c r="C1266" s="34"/>
      <c r="D1266" s="34"/>
      <c r="E1266" s="34"/>
      <c r="F1266" s="34"/>
      <c r="G1266" s="34"/>
    </row>
    <row r="1267" spans="1:7" x14ac:dyDescent="0.3">
      <c r="A1267" s="34"/>
      <c r="B1267" s="34"/>
      <c r="C1267" s="34"/>
      <c r="D1267" s="34"/>
      <c r="E1267" s="34"/>
      <c r="F1267" s="34"/>
      <c r="G1267" s="34"/>
    </row>
    <row r="1268" spans="1:7" x14ac:dyDescent="0.3">
      <c r="A1268" s="34"/>
      <c r="B1268" s="34"/>
      <c r="C1268" s="34"/>
      <c r="D1268" s="34"/>
      <c r="E1268" s="34"/>
      <c r="F1268" s="34"/>
      <c r="G1268" s="34"/>
    </row>
    <row r="1269" spans="1:7" x14ac:dyDescent="0.3">
      <c r="A1269" s="34"/>
      <c r="B1269" s="34"/>
      <c r="C1269" s="34"/>
      <c r="D1269" s="34"/>
      <c r="E1269" s="34"/>
      <c r="F1269" s="34"/>
      <c r="G1269" s="34"/>
    </row>
    <row r="1270" spans="1:7" x14ac:dyDescent="0.3">
      <c r="A1270" s="34"/>
      <c r="B1270" s="34"/>
      <c r="C1270" s="34"/>
      <c r="D1270" s="34"/>
      <c r="E1270" s="34"/>
      <c r="F1270" s="34"/>
      <c r="G1270" s="34"/>
    </row>
    <row r="1271" spans="1:7" x14ac:dyDescent="0.3">
      <c r="A1271" s="34"/>
      <c r="B1271" s="34"/>
      <c r="C1271" s="34"/>
      <c r="D1271" s="34"/>
      <c r="E1271" s="34"/>
      <c r="F1271" s="34"/>
      <c r="G1271" s="34"/>
    </row>
    <row r="1272" spans="1:7" x14ac:dyDescent="0.3">
      <c r="A1272" s="34"/>
      <c r="B1272" s="34"/>
      <c r="C1272" s="34"/>
      <c r="D1272" s="34"/>
      <c r="E1272" s="34"/>
      <c r="F1272" s="34"/>
      <c r="G1272" s="34"/>
    </row>
    <row r="1273" spans="1:7" x14ac:dyDescent="0.3">
      <c r="A1273" s="34"/>
      <c r="B1273" s="34"/>
      <c r="C1273" s="34"/>
      <c r="D1273" s="34"/>
      <c r="E1273" s="34"/>
      <c r="F1273" s="34"/>
      <c r="G1273" s="34"/>
    </row>
    <row r="1274" spans="1:7" x14ac:dyDescent="0.3">
      <c r="A1274" s="34"/>
      <c r="B1274" s="34"/>
      <c r="C1274" s="34"/>
      <c r="D1274" s="34"/>
      <c r="E1274" s="34"/>
      <c r="F1274" s="34"/>
      <c r="G1274" s="34"/>
    </row>
    <row r="1275" spans="1:7" x14ac:dyDescent="0.3">
      <c r="A1275" s="34"/>
      <c r="B1275" s="34"/>
      <c r="C1275" s="34"/>
      <c r="D1275" s="34"/>
      <c r="E1275" s="34"/>
      <c r="F1275" s="34"/>
      <c r="G1275" s="34"/>
    </row>
    <row r="1276" spans="1:7" x14ac:dyDescent="0.3">
      <c r="A1276" s="34"/>
      <c r="B1276" s="34"/>
      <c r="C1276" s="34"/>
      <c r="D1276" s="34"/>
      <c r="E1276" s="34"/>
      <c r="F1276" s="34"/>
      <c r="G1276" s="34"/>
    </row>
    <row r="1277" spans="1:7" x14ac:dyDescent="0.3">
      <c r="A1277" s="34"/>
      <c r="B1277" s="34"/>
      <c r="C1277" s="34"/>
      <c r="D1277" s="34"/>
      <c r="E1277" s="34"/>
      <c r="F1277" s="34"/>
      <c r="G1277" s="34"/>
    </row>
    <row r="1278" spans="1:7" x14ac:dyDescent="0.3">
      <c r="A1278" s="34"/>
      <c r="B1278" s="34"/>
      <c r="C1278" s="34"/>
      <c r="D1278" s="34"/>
      <c r="E1278" s="34"/>
      <c r="F1278" s="34"/>
      <c r="G1278" s="34"/>
    </row>
    <row r="1279" spans="1:7" x14ac:dyDescent="0.3">
      <c r="A1279" s="34"/>
      <c r="B1279" s="34"/>
      <c r="C1279" s="34"/>
      <c r="D1279" s="34"/>
      <c r="E1279" s="34"/>
      <c r="F1279" s="34"/>
      <c r="G1279" s="34"/>
    </row>
    <row r="1280" spans="1:7" x14ac:dyDescent="0.3">
      <c r="A1280" s="34"/>
      <c r="B1280" s="34"/>
      <c r="C1280" s="34"/>
      <c r="D1280" s="34"/>
      <c r="E1280" s="34"/>
      <c r="F1280" s="34"/>
      <c r="G1280" s="34"/>
    </row>
    <row r="1281" spans="1:7" x14ac:dyDescent="0.3">
      <c r="A1281" s="34"/>
      <c r="B1281" s="34"/>
      <c r="C1281" s="34"/>
      <c r="D1281" s="34"/>
      <c r="E1281" s="34"/>
      <c r="F1281" s="34"/>
      <c r="G1281" s="34"/>
    </row>
    <row r="1282" spans="1:7" x14ac:dyDescent="0.3">
      <c r="A1282" s="34"/>
      <c r="B1282" s="34"/>
      <c r="C1282" s="34"/>
      <c r="D1282" s="34"/>
      <c r="E1282" s="34"/>
      <c r="F1282" s="34"/>
      <c r="G1282" s="34"/>
    </row>
    <row r="1283" spans="1:7" x14ac:dyDescent="0.3">
      <c r="A1283" s="34"/>
      <c r="B1283" s="34"/>
      <c r="C1283" s="34"/>
      <c r="D1283" s="34"/>
      <c r="E1283" s="34"/>
      <c r="F1283" s="34"/>
      <c r="G1283" s="34"/>
    </row>
    <row r="1284" spans="1:7" x14ac:dyDescent="0.3">
      <c r="A1284" s="34"/>
      <c r="B1284" s="34"/>
      <c r="C1284" s="34"/>
      <c r="D1284" s="34"/>
      <c r="E1284" s="34"/>
      <c r="F1284" s="34"/>
      <c r="G1284" s="34"/>
    </row>
    <row r="1285" spans="1:7" x14ac:dyDescent="0.3">
      <c r="A1285" s="34"/>
      <c r="B1285" s="34"/>
      <c r="C1285" s="34"/>
      <c r="D1285" s="34"/>
      <c r="E1285" s="34"/>
      <c r="F1285" s="34"/>
      <c r="G1285" s="34"/>
    </row>
    <row r="1286" spans="1:7" x14ac:dyDescent="0.3">
      <c r="A1286" s="34"/>
      <c r="B1286" s="34"/>
      <c r="C1286" s="34"/>
      <c r="D1286" s="34"/>
      <c r="E1286" s="34"/>
      <c r="F1286" s="34"/>
      <c r="G1286" s="34"/>
    </row>
    <row r="1287" spans="1:7" x14ac:dyDescent="0.3">
      <c r="A1287" s="34"/>
      <c r="B1287" s="34"/>
      <c r="C1287" s="34"/>
      <c r="D1287" s="34"/>
      <c r="E1287" s="34"/>
      <c r="F1287" s="34"/>
      <c r="G1287" s="34"/>
    </row>
    <row r="1288" spans="1:7" x14ac:dyDescent="0.3">
      <c r="A1288" s="34"/>
      <c r="B1288" s="34"/>
      <c r="C1288" s="34"/>
      <c r="D1288" s="34"/>
      <c r="E1288" s="34"/>
      <c r="F1288" s="34"/>
      <c r="G1288" s="34"/>
    </row>
    <row r="1289" spans="1:7" x14ac:dyDescent="0.3">
      <c r="A1289" s="34"/>
      <c r="B1289" s="34"/>
      <c r="C1289" s="34"/>
      <c r="D1289" s="34"/>
      <c r="E1289" s="34"/>
      <c r="F1289" s="34"/>
      <c r="G1289" s="34"/>
    </row>
    <row r="1290" spans="1:7" x14ac:dyDescent="0.3">
      <c r="A1290" s="34"/>
      <c r="B1290" s="34"/>
      <c r="C1290" s="34"/>
      <c r="D1290" s="34"/>
      <c r="E1290" s="34"/>
      <c r="F1290" s="34"/>
      <c r="G1290" s="34"/>
    </row>
    <row r="1291" spans="1:7" x14ac:dyDescent="0.3">
      <c r="A1291" s="34"/>
      <c r="B1291" s="34"/>
      <c r="C1291" s="34"/>
      <c r="D1291" s="34"/>
      <c r="E1291" s="34"/>
      <c r="F1291" s="34"/>
      <c r="G1291" s="34"/>
    </row>
    <row r="1292" spans="1:7" x14ac:dyDescent="0.3">
      <c r="A1292" s="34"/>
      <c r="B1292" s="34"/>
      <c r="C1292" s="34"/>
      <c r="D1292" s="34"/>
      <c r="E1292" s="34"/>
      <c r="F1292" s="34"/>
      <c r="G1292" s="34"/>
    </row>
    <row r="1293" spans="1:7" x14ac:dyDescent="0.3">
      <c r="A1293" s="34"/>
      <c r="B1293" s="34"/>
      <c r="C1293" s="34"/>
      <c r="D1293" s="34"/>
      <c r="E1293" s="34"/>
      <c r="F1293" s="34"/>
      <c r="G1293" s="34"/>
    </row>
    <row r="1294" spans="1:7" x14ac:dyDescent="0.3">
      <c r="A1294" s="34"/>
      <c r="B1294" s="34"/>
      <c r="C1294" s="34"/>
      <c r="D1294" s="34"/>
      <c r="E1294" s="34"/>
      <c r="F1294" s="34"/>
      <c r="G1294" s="34"/>
    </row>
    <row r="1295" spans="1:7" x14ac:dyDescent="0.3">
      <c r="A1295" s="34"/>
      <c r="B1295" s="34"/>
      <c r="C1295" s="34"/>
      <c r="D1295" s="34"/>
      <c r="E1295" s="34"/>
      <c r="F1295" s="34"/>
      <c r="G1295" s="34"/>
    </row>
    <row r="1296" spans="1:7" x14ac:dyDescent="0.3">
      <c r="A1296" s="34"/>
      <c r="B1296" s="34"/>
      <c r="C1296" s="34"/>
      <c r="D1296" s="34"/>
      <c r="E1296" s="34"/>
      <c r="F1296" s="34"/>
      <c r="G1296" s="34"/>
    </row>
    <row r="1297" spans="1:7" x14ac:dyDescent="0.3">
      <c r="A1297" s="34"/>
      <c r="B1297" s="34"/>
      <c r="C1297" s="34"/>
      <c r="D1297" s="34"/>
      <c r="E1297" s="34"/>
      <c r="F1297" s="34"/>
      <c r="G1297" s="34"/>
    </row>
    <row r="1298" spans="1:7" x14ac:dyDescent="0.3">
      <c r="A1298" s="34"/>
      <c r="B1298" s="34"/>
      <c r="C1298" s="34"/>
      <c r="D1298" s="34"/>
      <c r="E1298" s="34"/>
      <c r="F1298" s="34"/>
      <c r="G1298" s="34"/>
    </row>
    <row r="1299" spans="1:7" x14ac:dyDescent="0.3">
      <c r="A1299" s="34"/>
      <c r="B1299" s="34"/>
      <c r="C1299" s="34"/>
      <c r="D1299" s="34"/>
      <c r="E1299" s="34"/>
      <c r="F1299" s="34"/>
      <c r="G1299" s="34"/>
    </row>
    <row r="1300" spans="1:7" x14ac:dyDescent="0.3">
      <c r="A1300" s="34"/>
      <c r="B1300" s="34"/>
      <c r="C1300" s="34"/>
      <c r="D1300" s="34"/>
      <c r="E1300" s="34"/>
      <c r="F1300" s="34"/>
      <c r="G1300" s="34"/>
    </row>
    <row r="1301" spans="1:7" x14ac:dyDescent="0.3">
      <c r="A1301" s="34"/>
      <c r="B1301" s="34"/>
      <c r="C1301" s="34"/>
      <c r="D1301" s="34"/>
      <c r="E1301" s="34"/>
      <c r="F1301" s="34"/>
      <c r="G1301" s="34"/>
    </row>
    <row r="1302" spans="1:7" x14ac:dyDescent="0.3">
      <c r="A1302" s="34"/>
      <c r="B1302" s="34"/>
      <c r="C1302" s="34"/>
      <c r="D1302" s="34"/>
      <c r="E1302" s="34"/>
      <c r="F1302" s="34"/>
      <c r="G1302" s="34"/>
    </row>
    <row r="1303" spans="1:7" x14ac:dyDescent="0.3">
      <c r="A1303" s="34"/>
      <c r="B1303" s="34"/>
      <c r="C1303" s="34"/>
      <c r="D1303" s="34"/>
      <c r="E1303" s="34"/>
      <c r="F1303" s="34"/>
      <c r="G1303" s="34"/>
    </row>
    <row r="1304" spans="1:7" x14ac:dyDescent="0.3">
      <c r="A1304" s="34"/>
      <c r="B1304" s="34"/>
      <c r="C1304" s="34"/>
      <c r="D1304" s="34"/>
      <c r="E1304" s="34"/>
      <c r="F1304" s="34"/>
      <c r="G1304" s="34"/>
    </row>
    <row r="1305" spans="1:7" x14ac:dyDescent="0.3">
      <c r="A1305" s="34"/>
      <c r="B1305" s="34"/>
      <c r="C1305" s="34"/>
      <c r="D1305" s="34"/>
      <c r="E1305" s="34"/>
      <c r="F1305" s="34"/>
      <c r="G1305" s="34"/>
    </row>
    <row r="1306" spans="1:7" x14ac:dyDescent="0.3">
      <c r="A1306" s="34"/>
      <c r="B1306" s="34"/>
      <c r="C1306" s="34"/>
      <c r="D1306" s="34"/>
      <c r="E1306" s="34"/>
      <c r="F1306" s="34"/>
      <c r="G1306" s="34"/>
    </row>
    <row r="1307" spans="1:7" x14ac:dyDescent="0.3">
      <c r="A1307" s="34"/>
      <c r="B1307" s="34"/>
      <c r="C1307" s="34"/>
      <c r="D1307" s="34"/>
      <c r="E1307" s="34"/>
      <c r="F1307" s="34"/>
      <c r="G1307" s="34"/>
    </row>
    <row r="1308" spans="1:7" x14ac:dyDescent="0.3">
      <c r="A1308" s="34"/>
      <c r="B1308" s="34"/>
      <c r="C1308" s="34"/>
      <c r="D1308" s="34"/>
      <c r="E1308" s="34"/>
      <c r="F1308" s="34"/>
      <c r="G1308" s="34"/>
    </row>
    <row r="1309" spans="1:7" x14ac:dyDescent="0.3">
      <c r="A1309" s="34"/>
      <c r="B1309" s="34"/>
      <c r="C1309" s="34"/>
      <c r="D1309" s="34"/>
      <c r="E1309" s="34"/>
      <c r="F1309" s="34"/>
      <c r="G1309" s="34"/>
    </row>
    <row r="1310" spans="1:7" x14ac:dyDescent="0.3">
      <c r="A1310" s="34"/>
      <c r="B1310" s="34"/>
      <c r="C1310" s="34"/>
      <c r="D1310" s="34"/>
      <c r="E1310" s="34"/>
      <c r="F1310" s="34"/>
      <c r="G1310" s="34"/>
    </row>
    <row r="1311" spans="1:7" x14ac:dyDescent="0.3">
      <c r="A1311" s="34"/>
      <c r="B1311" s="34"/>
      <c r="C1311" s="34"/>
      <c r="D1311" s="34"/>
      <c r="E1311" s="34"/>
      <c r="F1311" s="34"/>
      <c r="G1311" s="34"/>
    </row>
    <row r="1312" spans="1:7" x14ac:dyDescent="0.3">
      <c r="A1312" s="34"/>
      <c r="B1312" s="34"/>
      <c r="C1312" s="34"/>
      <c r="D1312" s="34"/>
      <c r="E1312" s="34"/>
      <c r="F1312" s="34"/>
      <c r="G1312" s="34"/>
    </row>
    <row r="1313" spans="1:7" x14ac:dyDescent="0.3">
      <c r="A1313" s="34"/>
      <c r="B1313" s="34"/>
      <c r="C1313" s="34"/>
      <c r="D1313" s="34"/>
      <c r="E1313" s="34"/>
      <c r="F1313" s="34"/>
      <c r="G1313" s="34"/>
    </row>
    <row r="1314" spans="1:7" x14ac:dyDescent="0.3">
      <c r="A1314" s="34"/>
      <c r="B1314" s="34"/>
      <c r="C1314" s="34"/>
      <c r="D1314" s="34"/>
      <c r="E1314" s="34"/>
      <c r="F1314" s="34"/>
      <c r="G1314" s="34"/>
    </row>
    <row r="1315" spans="1:7" x14ac:dyDescent="0.3">
      <c r="A1315" s="34"/>
      <c r="B1315" s="34"/>
      <c r="C1315" s="34"/>
      <c r="D1315" s="34"/>
      <c r="E1315" s="34"/>
      <c r="F1315" s="34"/>
      <c r="G1315" s="34"/>
    </row>
    <row r="1316" spans="1:7" x14ac:dyDescent="0.3">
      <c r="A1316" s="34"/>
      <c r="B1316" s="34"/>
      <c r="C1316" s="34"/>
      <c r="D1316" s="34"/>
      <c r="E1316" s="34"/>
      <c r="F1316" s="34"/>
      <c r="G1316" s="34"/>
    </row>
    <row r="1317" spans="1:7" x14ac:dyDescent="0.3">
      <c r="A1317" s="34"/>
      <c r="B1317" s="34"/>
      <c r="C1317" s="34"/>
      <c r="D1317" s="34"/>
      <c r="E1317" s="34"/>
      <c r="F1317" s="34"/>
      <c r="G1317" s="34"/>
    </row>
    <row r="1318" spans="1:7" x14ac:dyDescent="0.3">
      <c r="A1318" s="34"/>
      <c r="B1318" s="34"/>
      <c r="C1318" s="34"/>
      <c r="D1318" s="34"/>
      <c r="E1318" s="34"/>
      <c r="F1318" s="34"/>
      <c r="G1318" s="34"/>
    </row>
    <row r="1319" spans="1:7" x14ac:dyDescent="0.3">
      <c r="A1319" s="34"/>
      <c r="B1319" s="34"/>
      <c r="C1319" s="34"/>
      <c r="D1319" s="34"/>
      <c r="E1319" s="34"/>
      <c r="F1319" s="34"/>
      <c r="G1319" s="34"/>
    </row>
    <row r="1320" spans="1:7" x14ac:dyDescent="0.3">
      <c r="A1320" s="34"/>
      <c r="B1320" s="34"/>
      <c r="C1320" s="34"/>
      <c r="D1320" s="34"/>
      <c r="E1320" s="34"/>
      <c r="F1320" s="34"/>
      <c r="G1320" s="34"/>
    </row>
    <row r="1321" spans="1:7" x14ac:dyDescent="0.3">
      <c r="A1321" s="34"/>
      <c r="B1321" s="34"/>
      <c r="C1321" s="34"/>
      <c r="D1321" s="34"/>
      <c r="E1321" s="34"/>
      <c r="F1321" s="34"/>
      <c r="G1321" s="34"/>
    </row>
    <row r="1322" spans="1:7" x14ac:dyDescent="0.3">
      <c r="A1322" s="34"/>
      <c r="B1322" s="34"/>
      <c r="C1322" s="34"/>
      <c r="D1322" s="34"/>
      <c r="E1322" s="34"/>
      <c r="F1322" s="34"/>
      <c r="G1322" s="34"/>
    </row>
    <row r="1323" spans="1:7" x14ac:dyDescent="0.3">
      <c r="A1323" s="34"/>
      <c r="B1323" s="34"/>
      <c r="C1323" s="34"/>
      <c r="D1323" s="34"/>
      <c r="E1323" s="34"/>
      <c r="F1323" s="34"/>
      <c r="G1323" s="34"/>
    </row>
    <row r="1324" spans="1:7" x14ac:dyDescent="0.3">
      <c r="A1324" s="34"/>
      <c r="B1324" s="34"/>
      <c r="C1324" s="34"/>
      <c r="D1324" s="34"/>
      <c r="E1324" s="34"/>
      <c r="F1324" s="34"/>
      <c r="G1324" s="34"/>
    </row>
    <row r="1325" spans="1:7" x14ac:dyDescent="0.3">
      <c r="A1325" s="34"/>
      <c r="B1325" s="34"/>
      <c r="C1325" s="34"/>
      <c r="D1325" s="34"/>
      <c r="E1325" s="34"/>
      <c r="F1325" s="34"/>
      <c r="G1325" s="34"/>
    </row>
    <row r="1326" spans="1:7" x14ac:dyDescent="0.3">
      <c r="A1326" s="34"/>
      <c r="B1326" s="34"/>
      <c r="C1326" s="34"/>
      <c r="D1326" s="34"/>
      <c r="E1326" s="34"/>
      <c r="F1326" s="34"/>
      <c r="G1326" s="34"/>
    </row>
    <row r="1327" spans="1:7" x14ac:dyDescent="0.3">
      <c r="A1327" s="34"/>
      <c r="B1327" s="34"/>
      <c r="C1327" s="34"/>
      <c r="D1327" s="34"/>
      <c r="E1327" s="34"/>
      <c r="F1327" s="34"/>
      <c r="G1327" s="34"/>
    </row>
    <row r="1328" spans="1:7" x14ac:dyDescent="0.3">
      <c r="A1328" s="34"/>
      <c r="B1328" s="34"/>
      <c r="C1328" s="34"/>
      <c r="D1328" s="34"/>
      <c r="E1328" s="34"/>
      <c r="F1328" s="34"/>
      <c r="G1328" s="34"/>
    </row>
    <row r="1329" spans="1:7" x14ac:dyDescent="0.3">
      <c r="A1329" s="34"/>
      <c r="B1329" s="34"/>
      <c r="C1329" s="34"/>
      <c r="D1329" s="34"/>
      <c r="E1329" s="34"/>
      <c r="F1329" s="34"/>
      <c r="G1329" s="34"/>
    </row>
    <row r="1330" spans="1:7" x14ac:dyDescent="0.3">
      <c r="A1330" s="34"/>
      <c r="B1330" s="34"/>
      <c r="C1330" s="34"/>
      <c r="D1330" s="34"/>
      <c r="E1330" s="34"/>
      <c r="F1330" s="34"/>
      <c r="G1330" s="34"/>
    </row>
    <row r="1331" spans="1:7" x14ac:dyDescent="0.3">
      <c r="A1331" s="34"/>
      <c r="B1331" s="34"/>
      <c r="C1331" s="34"/>
      <c r="D1331" s="34"/>
      <c r="E1331" s="34"/>
      <c r="F1331" s="34"/>
      <c r="G1331" s="34"/>
    </row>
    <row r="1332" spans="1:7" x14ac:dyDescent="0.3">
      <c r="A1332" s="34"/>
      <c r="B1332" s="34"/>
      <c r="C1332" s="34"/>
      <c r="D1332" s="34"/>
      <c r="E1332" s="34"/>
      <c r="F1332" s="34"/>
      <c r="G1332" s="34"/>
    </row>
    <row r="1333" spans="1:7" x14ac:dyDescent="0.3">
      <c r="A1333" s="34"/>
      <c r="B1333" s="34"/>
      <c r="C1333" s="34"/>
      <c r="D1333" s="34"/>
      <c r="E1333" s="34"/>
      <c r="F1333" s="34"/>
      <c r="G1333" s="34"/>
    </row>
    <row r="1334" spans="1:7" x14ac:dyDescent="0.3">
      <c r="A1334" s="34"/>
      <c r="B1334" s="34"/>
      <c r="C1334" s="34"/>
      <c r="D1334" s="34"/>
      <c r="E1334" s="34"/>
      <c r="F1334" s="34"/>
      <c r="G1334" s="34"/>
    </row>
    <row r="1335" spans="1:7" x14ac:dyDescent="0.3">
      <c r="A1335" s="34"/>
      <c r="B1335" s="34"/>
      <c r="C1335" s="34"/>
      <c r="D1335" s="34"/>
      <c r="E1335" s="34"/>
      <c r="F1335" s="34"/>
      <c r="G1335" s="34"/>
    </row>
    <row r="1336" spans="1:7" x14ac:dyDescent="0.3">
      <c r="A1336" s="34"/>
      <c r="B1336" s="34"/>
      <c r="C1336" s="34"/>
      <c r="D1336" s="34"/>
      <c r="E1336" s="34"/>
      <c r="F1336" s="34"/>
      <c r="G1336" s="34"/>
    </row>
    <row r="1337" spans="1:7" x14ac:dyDescent="0.3">
      <c r="A1337" s="34"/>
      <c r="B1337" s="34"/>
      <c r="C1337" s="34"/>
      <c r="D1337" s="34"/>
      <c r="E1337" s="34"/>
      <c r="F1337" s="34"/>
      <c r="G1337" s="34"/>
    </row>
    <row r="1338" spans="1:7" x14ac:dyDescent="0.3">
      <c r="A1338" s="34"/>
      <c r="B1338" s="34"/>
      <c r="C1338" s="34"/>
      <c r="D1338" s="34"/>
      <c r="E1338" s="34"/>
      <c r="F1338" s="34"/>
      <c r="G1338" s="34"/>
    </row>
    <row r="1339" spans="1:7" x14ac:dyDescent="0.3">
      <c r="A1339" s="34"/>
      <c r="B1339" s="34"/>
      <c r="C1339" s="34"/>
      <c r="D1339" s="34"/>
      <c r="E1339" s="34"/>
      <c r="F1339" s="34"/>
      <c r="G1339" s="34"/>
    </row>
    <row r="1340" spans="1:7" x14ac:dyDescent="0.3">
      <c r="A1340" s="34"/>
      <c r="B1340" s="34"/>
      <c r="C1340" s="34"/>
      <c r="D1340" s="34"/>
      <c r="E1340" s="34"/>
      <c r="F1340" s="34"/>
      <c r="G1340" s="34"/>
    </row>
    <row r="1341" spans="1:7" x14ac:dyDescent="0.3">
      <c r="A1341" s="34"/>
      <c r="B1341" s="34"/>
      <c r="C1341" s="34"/>
      <c r="D1341" s="34"/>
      <c r="E1341" s="34"/>
      <c r="F1341" s="34"/>
      <c r="G1341" s="34"/>
    </row>
    <row r="1342" spans="1:7" x14ac:dyDescent="0.3">
      <c r="A1342" s="34"/>
      <c r="B1342" s="34"/>
      <c r="C1342" s="34"/>
      <c r="D1342" s="34"/>
      <c r="E1342" s="34"/>
      <c r="F1342" s="34"/>
      <c r="G1342" s="34"/>
    </row>
    <row r="1343" spans="1:7" x14ac:dyDescent="0.3">
      <c r="A1343" s="34"/>
      <c r="B1343" s="34"/>
      <c r="C1343" s="34"/>
      <c r="D1343" s="34"/>
      <c r="E1343" s="34"/>
      <c r="F1343" s="34"/>
      <c r="G1343" s="34"/>
    </row>
    <row r="1344" spans="1:7" x14ac:dyDescent="0.3">
      <c r="A1344" s="34"/>
      <c r="B1344" s="34"/>
      <c r="C1344" s="34"/>
      <c r="D1344" s="34"/>
      <c r="E1344" s="34"/>
      <c r="F1344" s="34"/>
      <c r="G1344" s="34"/>
    </row>
    <row r="1345" spans="1:7" x14ac:dyDescent="0.3">
      <c r="A1345" s="34"/>
      <c r="B1345" s="34"/>
      <c r="C1345" s="34"/>
      <c r="D1345" s="34"/>
      <c r="E1345" s="34"/>
      <c r="F1345" s="34"/>
      <c r="G1345" s="34"/>
    </row>
    <row r="1346" spans="1:7" x14ac:dyDescent="0.3">
      <c r="A1346" s="34"/>
      <c r="B1346" s="34"/>
      <c r="C1346" s="34"/>
      <c r="D1346" s="34"/>
      <c r="E1346" s="34"/>
      <c r="F1346" s="34"/>
      <c r="G1346" s="34"/>
    </row>
    <row r="1347" spans="1:7" x14ac:dyDescent="0.3">
      <c r="A1347" s="34"/>
      <c r="B1347" s="34"/>
      <c r="C1347" s="34"/>
      <c r="D1347" s="34"/>
      <c r="E1347" s="34"/>
      <c r="F1347" s="34"/>
      <c r="G1347" s="34"/>
    </row>
    <row r="1348" spans="1:7" x14ac:dyDescent="0.3">
      <c r="A1348" s="34"/>
      <c r="B1348" s="34"/>
      <c r="C1348" s="34"/>
      <c r="D1348" s="34"/>
      <c r="E1348" s="34"/>
      <c r="F1348" s="34"/>
      <c r="G1348" s="34"/>
    </row>
    <row r="1349" spans="1:7" x14ac:dyDescent="0.3">
      <c r="A1349" s="34"/>
      <c r="B1349" s="34"/>
      <c r="C1349" s="34"/>
      <c r="D1349" s="34"/>
      <c r="E1349" s="34"/>
      <c r="F1349" s="34"/>
      <c r="G1349" s="34"/>
    </row>
    <row r="1350" spans="1:7" x14ac:dyDescent="0.3">
      <c r="A1350" s="34"/>
      <c r="B1350" s="34"/>
      <c r="C1350" s="34"/>
      <c r="D1350" s="34"/>
      <c r="E1350" s="34"/>
      <c r="F1350" s="34"/>
      <c r="G1350" s="34"/>
    </row>
    <row r="1351" spans="1:7" x14ac:dyDescent="0.3">
      <c r="A1351" s="34"/>
      <c r="B1351" s="34"/>
      <c r="C1351" s="34"/>
      <c r="D1351" s="34"/>
      <c r="E1351" s="34"/>
      <c r="F1351" s="34"/>
      <c r="G1351" s="34"/>
    </row>
    <row r="1352" spans="1:7" x14ac:dyDescent="0.3">
      <c r="A1352" s="34"/>
      <c r="B1352" s="34"/>
      <c r="C1352" s="34"/>
      <c r="D1352" s="34"/>
      <c r="E1352" s="34"/>
      <c r="F1352" s="34"/>
      <c r="G1352" s="34"/>
    </row>
    <row r="1353" spans="1:7" x14ac:dyDescent="0.3">
      <c r="A1353" s="34"/>
      <c r="B1353" s="34"/>
      <c r="C1353" s="34"/>
      <c r="D1353" s="34"/>
      <c r="E1353" s="34"/>
      <c r="F1353" s="34"/>
      <c r="G1353" s="34"/>
    </row>
    <row r="1354" spans="1:7" x14ac:dyDescent="0.3">
      <c r="A1354" s="34"/>
      <c r="B1354" s="34"/>
      <c r="C1354" s="34"/>
      <c r="D1354" s="34"/>
      <c r="E1354" s="34"/>
      <c r="F1354" s="34"/>
      <c r="G1354" s="34"/>
    </row>
    <row r="1355" spans="1:7" x14ac:dyDescent="0.3">
      <c r="A1355" s="34"/>
      <c r="B1355" s="34"/>
      <c r="C1355" s="34"/>
      <c r="D1355" s="34"/>
      <c r="E1355" s="34"/>
      <c r="F1355" s="34"/>
      <c r="G1355" s="34"/>
    </row>
    <row r="1356" spans="1:7" x14ac:dyDescent="0.3">
      <c r="A1356" s="34"/>
      <c r="B1356" s="34"/>
      <c r="C1356" s="34"/>
      <c r="D1356" s="34"/>
      <c r="E1356" s="34"/>
      <c r="F1356" s="34"/>
      <c r="G1356" s="34"/>
    </row>
    <row r="1357" spans="1:7" x14ac:dyDescent="0.3">
      <c r="A1357" s="34"/>
      <c r="B1357" s="34"/>
      <c r="C1357" s="34"/>
      <c r="D1357" s="34"/>
      <c r="E1357" s="34"/>
      <c r="F1357" s="34"/>
      <c r="G1357" s="34"/>
    </row>
    <row r="1358" spans="1:7" x14ac:dyDescent="0.3">
      <c r="A1358" s="34"/>
      <c r="B1358" s="34"/>
      <c r="C1358" s="34"/>
      <c r="D1358" s="34"/>
      <c r="E1358" s="34"/>
      <c r="F1358" s="34"/>
      <c r="G1358" s="34"/>
    </row>
    <row r="1359" spans="1:7" x14ac:dyDescent="0.3">
      <c r="A1359" s="34"/>
      <c r="B1359" s="34"/>
      <c r="C1359" s="34"/>
      <c r="D1359" s="34"/>
      <c r="E1359" s="34"/>
      <c r="F1359" s="34"/>
      <c r="G1359" s="34"/>
    </row>
    <row r="1360" spans="1:7" x14ac:dyDescent="0.3">
      <c r="A1360" s="34"/>
      <c r="B1360" s="34"/>
      <c r="C1360" s="34"/>
      <c r="D1360" s="34"/>
      <c r="E1360" s="34"/>
      <c r="F1360" s="34"/>
      <c r="G1360" s="34"/>
    </row>
    <row r="1361" spans="1:7" x14ac:dyDescent="0.3">
      <c r="A1361" s="34"/>
      <c r="B1361" s="34"/>
      <c r="C1361" s="34"/>
      <c r="D1361" s="34"/>
      <c r="E1361" s="34"/>
      <c r="F1361" s="34"/>
      <c r="G1361" s="34"/>
    </row>
    <row r="1362" spans="1:7" x14ac:dyDescent="0.3">
      <c r="A1362" s="34"/>
      <c r="B1362" s="34"/>
      <c r="C1362" s="34"/>
      <c r="D1362" s="34"/>
      <c r="E1362" s="34"/>
      <c r="F1362" s="34"/>
      <c r="G1362" s="34"/>
    </row>
    <row r="1363" spans="1:7" x14ac:dyDescent="0.3">
      <c r="A1363" s="34"/>
      <c r="B1363" s="34"/>
      <c r="C1363" s="34"/>
      <c r="D1363" s="34"/>
      <c r="E1363" s="34"/>
      <c r="F1363" s="34"/>
      <c r="G1363" s="34"/>
    </row>
    <row r="1364" spans="1:7" x14ac:dyDescent="0.3">
      <c r="A1364" s="34"/>
      <c r="B1364" s="34"/>
      <c r="C1364" s="34"/>
      <c r="D1364" s="34"/>
      <c r="E1364" s="34"/>
      <c r="F1364" s="34"/>
      <c r="G1364" s="34"/>
    </row>
    <row r="1365" spans="1:7" x14ac:dyDescent="0.3">
      <c r="A1365" s="34"/>
      <c r="B1365" s="34"/>
      <c r="C1365" s="34"/>
      <c r="D1365" s="34"/>
      <c r="E1365" s="34"/>
      <c r="F1365" s="34"/>
      <c r="G1365" s="34"/>
    </row>
    <row r="1366" spans="1:7" x14ac:dyDescent="0.3">
      <c r="A1366" s="34"/>
      <c r="B1366" s="34"/>
      <c r="C1366" s="34"/>
      <c r="D1366" s="34"/>
      <c r="E1366" s="34"/>
      <c r="F1366" s="34"/>
      <c r="G1366" s="34"/>
    </row>
    <row r="1367" spans="1:7" x14ac:dyDescent="0.3">
      <c r="A1367" s="34"/>
      <c r="B1367" s="34"/>
      <c r="C1367" s="34"/>
      <c r="D1367" s="34"/>
      <c r="E1367" s="34"/>
      <c r="F1367" s="34"/>
      <c r="G1367" s="34"/>
    </row>
    <row r="1368" spans="1:7" x14ac:dyDescent="0.3">
      <c r="A1368" s="34"/>
      <c r="B1368" s="34"/>
      <c r="C1368" s="34"/>
      <c r="D1368" s="34"/>
      <c r="E1368" s="34"/>
      <c r="F1368" s="34"/>
      <c r="G1368" s="34"/>
    </row>
    <row r="1369" spans="1:7" x14ac:dyDescent="0.3">
      <c r="A1369" s="34"/>
      <c r="B1369" s="34"/>
      <c r="C1369" s="34"/>
      <c r="D1369" s="34"/>
      <c r="E1369" s="34"/>
      <c r="F1369" s="34"/>
      <c r="G1369" s="34"/>
    </row>
    <row r="1370" spans="1:7" x14ac:dyDescent="0.3">
      <c r="A1370" s="34"/>
      <c r="B1370" s="34"/>
      <c r="C1370" s="34"/>
      <c r="D1370" s="34"/>
      <c r="E1370" s="34"/>
      <c r="F1370" s="34"/>
      <c r="G1370" s="34"/>
    </row>
    <row r="1371" spans="1:7" x14ac:dyDescent="0.3">
      <c r="A1371" s="34"/>
      <c r="B1371" s="34"/>
      <c r="C1371" s="34"/>
      <c r="D1371" s="34"/>
      <c r="E1371" s="34"/>
      <c r="F1371" s="34"/>
      <c r="G1371" s="34"/>
    </row>
    <row r="1372" spans="1:7" x14ac:dyDescent="0.3">
      <c r="A1372" s="34"/>
      <c r="B1372" s="34"/>
      <c r="C1372" s="34"/>
      <c r="D1372" s="34"/>
      <c r="E1372" s="34"/>
      <c r="F1372" s="34"/>
      <c r="G1372" s="34"/>
    </row>
    <row r="1373" spans="1:7" x14ac:dyDescent="0.3">
      <c r="A1373" s="34"/>
      <c r="B1373" s="34"/>
      <c r="C1373" s="34"/>
      <c r="D1373" s="34"/>
      <c r="E1373" s="34"/>
      <c r="F1373" s="34"/>
      <c r="G1373" s="34"/>
    </row>
    <row r="1374" spans="1:7" x14ac:dyDescent="0.3">
      <c r="A1374" s="34"/>
      <c r="B1374" s="34"/>
      <c r="C1374" s="34"/>
      <c r="D1374" s="34"/>
      <c r="E1374" s="34"/>
      <c r="F1374" s="34"/>
      <c r="G1374" s="34"/>
    </row>
    <row r="1375" spans="1:7" x14ac:dyDescent="0.3">
      <c r="A1375" s="34"/>
      <c r="B1375" s="34"/>
      <c r="C1375" s="34"/>
      <c r="D1375" s="34"/>
      <c r="E1375" s="34"/>
      <c r="F1375" s="34"/>
      <c r="G1375" s="34"/>
    </row>
    <row r="1376" spans="1:7" x14ac:dyDescent="0.3">
      <c r="A1376" s="34"/>
      <c r="B1376" s="34"/>
      <c r="C1376" s="34"/>
      <c r="D1376" s="34"/>
      <c r="E1376" s="34"/>
      <c r="F1376" s="34"/>
      <c r="G1376" s="34"/>
    </row>
    <row r="1377" spans="1:7" x14ac:dyDescent="0.3">
      <c r="A1377" s="34"/>
      <c r="B1377" s="34"/>
      <c r="C1377" s="34"/>
      <c r="D1377" s="34"/>
      <c r="E1377" s="34"/>
      <c r="F1377" s="34"/>
      <c r="G1377" s="34"/>
    </row>
    <row r="1378" spans="1:7" x14ac:dyDescent="0.3">
      <c r="A1378" s="34"/>
      <c r="B1378" s="34"/>
      <c r="C1378" s="34"/>
      <c r="D1378" s="34"/>
      <c r="E1378" s="34"/>
      <c r="F1378" s="34"/>
      <c r="G1378" s="34"/>
    </row>
    <row r="1379" spans="1:7" x14ac:dyDescent="0.3">
      <c r="A1379" s="34"/>
      <c r="B1379" s="34"/>
      <c r="C1379" s="34"/>
      <c r="D1379" s="34"/>
      <c r="E1379" s="34"/>
      <c r="F1379" s="34"/>
      <c r="G1379" s="34"/>
    </row>
    <row r="1380" spans="1:7" x14ac:dyDescent="0.3">
      <c r="A1380" s="34"/>
      <c r="B1380" s="34"/>
      <c r="C1380" s="34"/>
      <c r="D1380" s="34"/>
      <c r="E1380" s="34"/>
      <c r="F1380" s="34"/>
      <c r="G1380" s="34"/>
    </row>
    <row r="1381" spans="1:7" x14ac:dyDescent="0.3">
      <c r="A1381" s="34"/>
      <c r="B1381" s="34"/>
      <c r="C1381" s="34"/>
      <c r="D1381" s="34"/>
      <c r="E1381" s="34"/>
      <c r="F1381" s="34"/>
      <c r="G1381" s="34"/>
    </row>
    <row r="1382" spans="1:7" x14ac:dyDescent="0.3">
      <c r="A1382" s="34"/>
      <c r="B1382" s="34"/>
      <c r="C1382" s="34"/>
      <c r="D1382" s="34"/>
      <c r="E1382" s="34"/>
      <c r="F1382" s="34"/>
      <c r="G1382" s="34"/>
    </row>
    <row r="1383" spans="1:7" x14ac:dyDescent="0.3">
      <c r="A1383" s="34"/>
      <c r="B1383" s="34"/>
      <c r="C1383" s="34"/>
      <c r="D1383" s="34"/>
      <c r="E1383" s="34"/>
      <c r="F1383" s="34"/>
      <c r="G1383" s="34"/>
    </row>
    <row r="1384" spans="1:7" x14ac:dyDescent="0.3">
      <c r="A1384" s="34"/>
      <c r="B1384" s="34"/>
      <c r="C1384" s="34"/>
      <c r="D1384" s="34"/>
      <c r="E1384" s="34"/>
      <c r="F1384" s="34"/>
      <c r="G1384" s="34"/>
    </row>
    <row r="1385" spans="1:7" x14ac:dyDescent="0.3">
      <c r="A1385" s="34"/>
      <c r="B1385" s="34"/>
      <c r="C1385" s="34"/>
      <c r="D1385" s="34"/>
      <c r="E1385" s="34"/>
      <c r="F1385" s="34"/>
      <c r="G1385" s="34"/>
    </row>
    <row r="1386" spans="1:7" x14ac:dyDescent="0.3">
      <c r="A1386" s="34"/>
      <c r="B1386" s="34"/>
      <c r="C1386" s="34"/>
      <c r="D1386" s="34"/>
      <c r="E1386" s="34"/>
      <c r="F1386" s="34"/>
      <c r="G1386" s="34"/>
    </row>
    <row r="1387" spans="1:7" x14ac:dyDescent="0.3">
      <c r="A1387" s="34"/>
      <c r="B1387" s="34"/>
      <c r="C1387" s="34"/>
      <c r="D1387" s="34"/>
      <c r="E1387" s="34"/>
      <c r="F1387" s="34"/>
      <c r="G1387" s="34"/>
    </row>
    <row r="1388" spans="1:7" x14ac:dyDescent="0.3">
      <c r="A1388" s="34"/>
      <c r="B1388" s="34"/>
      <c r="C1388" s="34"/>
      <c r="D1388" s="34"/>
      <c r="E1388" s="34"/>
      <c r="F1388" s="34"/>
      <c r="G1388" s="34"/>
    </row>
    <row r="1389" spans="1:7" x14ac:dyDescent="0.3">
      <c r="A1389" s="34"/>
      <c r="B1389" s="34"/>
      <c r="C1389" s="34"/>
      <c r="D1389" s="34"/>
      <c r="E1389" s="34"/>
      <c r="F1389" s="34"/>
      <c r="G1389" s="34"/>
    </row>
    <row r="1390" spans="1:7" x14ac:dyDescent="0.3">
      <c r="A1390" s="34"/>
      <c r="B1390" s="34"/>
      <c r="C1390" s="34"/>
      <c r="D1390" s="34"/>
      <c r="E1390" s="34"/>
      <c r="F1390" s="34"/>
      <c r="G1390" s="34"/>
    </row>
    <row r="1391" spans="1:7" x14ac:dyDescent="0.3">
      <c r="A1391" s="34"/>
      <c r="B1391" s="34"/>
      <c r="C1391" s="34"/>
      <c r="D1391" s="34"/>
      <c r="E1391" s="34"/>
      <c r="F1391" s="34"/>
      <c r="G1391" s="34"/>
    </row>
    <row r="1392" spans="1:7" x14ac:dyDescent="0.3">
      <c r="A1392" s="34"/>
      <c r="B1392" s="34"/>
      <c r="C1392" s="34"/>
      <c r="D1392" s="34"/>
      <c r="E1392" s="34"/>
      <c r="F1392" s="34"/>
      <c r="G1392" s="34"/>
    </row>
    <row r="1393" spans="1:7" x14ac:dyDescent="0.3">
      <c r="A1393" s="34"/>
      <c r="B1393" s="34"/>
      <c r="C1393" s="34"/>
      <c r="D1393" s="34"/>
      <c r="E1393" s="34"/>
      <c r="F1393" s="34"/>
      <c r="G1393" s="34"/>
    </row>
    <row r="1394" spans="1:7" x14ac:dyDescent="0.3">
      <c r="A1394" s="34"/>
      <c r="B1394" s="34"/>
      <c r="C1394" s="34"/>
      <c r="D1394" s="34"/>
      <c r="E1394" s="34"/>
      <c r="F1394" s="34"/>
      <c r="G1394" s="34"/>
    </row>
    <row r="1395" spans="1:7" x14ac:dyDescent="0.3">
      <c r="A1395" s="34"/>
      <c r="B1395" s="34"/>
      <c r="C1395" s="34"/>
      <c r="D1395" s="34"/>
      <c r="E1395" s="34"/>
      <c r="F1395" s="34"/>
      <c r="G1395" s="34"/>
    </row>
    <row r="1396" spans="1:7" x14ac:dyDescent="0.3">
      <c r="A1396" s="34"/>
      <c r="B1396" s="34"/>
      <c r="C1396" s="34"/>
      <c r="D1396" s="34"/>
      <c r="E1396" s="34"/>
      <c r="F1396" s="34"/>
      <c r="G1396" s="34"/>
    </row>
    <row r="1397" spans="1:7" x14ac:dyDescent="0.3">
      <c r="A1397" s="34"/>
      <c r="B1397" s="34"/>
      <c r="C1397" s="34"/>
      <c r="D1397" s="34"/>
      <c r="E1397" s="34"/>
      <c r="F1397" s="34"/>
      <c r="G1397" s="34"/>
    </row>
    <row r="1398" spans="1:7" x14ac:dyDescent="0.3">
      <c r="A1398" s="34"/>
      <c r="B1398" s="34"/>
      <c r="C1398" s="34"/>
      <c r="D1398" s="34"/>
      <c r="E1398" s="34"/>
      <c r="F1398" s="34"/>
      <c r="G1398" s="34"/>
    </row>
    <row r="1399" spans="1:7" x14ac:dyDescent="0.3">
      <c r="A1399" s="34"/>
      <c r="B1399" s="34"/>
      <c r="C1399" s="34"/>
      <c r="D1399" s="34"/>
      <c r="E1399" s="34"/>
      <c r="F1399" s="34"/>
      <c r="G1399" s="34"/>
    </row>
    <row r="1400" spans="1:7" x14ac:dyDescent="0.3">
      <c r="A1400" s="34"/>
      <c r="B1400" s="34"/>
      <c r="C1400" s="34"/>
      <c r="D1400" s="34"/>
      <c r="E1400" s="34"/>
      <c r="F1400" s="34"/>
      <c r="G1400" s="34"/>
    </row>
    <row r="1401" spans="1:7" x14ac:dyDescent="0.3">
      <c r="A1401" s="34"/>
      <c r="B1401" s="34"/>
      <c r="C1401" s="34"/>
      <c r="D1401" s="34"/>
      <c r="E1401" s="34"/>
      <c r="F1401" s="34"/>
      <c r="G1401" s="34"/>
    </row>
    <row r="1402" spans="1:7" x14ac:dyDescent="0.3">
      <c r="A1402" s="34"/>
      <c r="B1402" s="34"/>
      <c r="C1402" s="34"/>
      <c r="D1402" s="34"/>
      <c r="E1402" s="34"/>
      <c r="F1402" s="34"/>
      <c r="G1402" s="34"/>
    </row>
    <row r="1403" spans="1:7" x14ac:dyDescent="0.3">
      <c r="A1403" s="34"/>
      <c r="B1403" s="34"/>
      <c r="C1403" s="34"/>
      <c r="D1403" s="34"/>
      <c r="E1403" s="34"/>
      <c r="F1403" s="34"/>
      <c r="G1403" s="34"/>
    </row>
    <row r="1404" spans="1:7" x14ac:dyDescent="0.3">
      <c r="A1404" s="34"/>
      <c r="B1404" s="34"/>
      <c r="C1404" s="34"/>
      <c r="D1404" s="34"/>
      <c r="E1404" s="34"/>
      <c r="F1404" s="34"/>
      <c r="G1404" s="34"/>
    </row>
    <row r="1405" spans="1:7" x14ac:dyDescent="0.3">
      <c r="A1405" s="34"/>
      <c r="B1405" s="34"/>
      <c r="C1405" s="34"/>
      <c r="D1405" s="34"/>
      <c r="E1405" s="34"/>
      <c r="F1405" s="34"/>
      <c r="G1405" s="34"/>
    </row>
    <row r="1406" spans="1:7" x14ac:dyDescent="0.3">
      <c r="A1406" s="34"/>
      <c r="B1406" s="34"/>
      <c r="C1406" s="34"/>
      <c r="D1406" s="34"/>
      <c r="E1406" s="34"/>
      <c r="F1406" s="34"/>
      <c r="G1406" s="34"/>
    </row>
    <row r="1407" spans="1:7" x14ac:dyDescent="0.3">
      <c r="A1407" s="34"/>
      <c r="B1407" s="34"/>
      <c r="C1407" s="34"/>
      <c r="D1407" s="34"/>
      <c r="E1407" s="34"/>
      <c r="F1407" s="34"/>
      <c r="G1407" s="34"/>
    </row>
    <row r="1408" spans="1:7" x14ac:dyDescent="0.3">
      <c r="A1408" s="34"/>
      <c r="B1408" s="34"/>
      <c r="C1408" s="34"/>
      <c r="D1408" s="34"/>
      <c r="E1408" s="34"/>
      <c r="F1408" s="34"/>
      <c r="G1408" s="34"/>
    </row>
    <row r="1409" spans="1:7" x14ac:dyDescent="0.3">
      <c r="A1409" s="34"/>
      <c r="B1409" s="34"/>
      <c r="C1409" s="34"/>
      <c r="D1409" s="34"/>
      <c r="E1409" s="34"/>
      <c r="F1409" s="34"/>
      <c r="G1409" s="34"/>
    </row>
    <row r="1410" spans="1:7" x14ac:dyDescent="0.3">
      <c r="A1410" s="34"/>
      <c r="B1410" s="34"/>
      <c r="C1410" s="34"/>
      <c r="D1410" s="34"/>
      <c r="E1410" s="34"/>
      <c r="F1410" s="34"/>
      <c r="G1410" s="34"/>
    </row>
    <row r="1411" spans="1:7" x14ac:dyDescent="0.3">
      <c r="A1411" s="34"/>
      <c r="B1411" s="34"/>
      <c r="C1411" s="34"/>
      <c r="D1411" s="34"/>
      <c r="E1411" s="34"/>
      <c r="F1411" s="34"/>
      <c r="G1411" s="34"/>
    </row>
    <row r="1412" spans="1:7" x14ac:dyDescent="0.3">
      <c r="A1412" s="34"/>
      <c r="B1412" s="34"/>
      <c r="C1412" s="34"/>
      <c r="D1412" s="34"/>
      <c r="E1412" s="34"/>
      <c r="F1412" s="34"/>
      <c r="G1412" s="34"/>
    </row>
    <row r="1413" spans="1:7" x14ac:dyDescent="0.3">
      <c r="A1413" s="34"/>
      <c r="B1413" s="34"/>
      <c r="C1413" s="34"/>
      <c r="D1413" s="34"/>
      <c r="E1413" s="34"/>
      <c r="F1413" s="34"/>
      <c r="G1413" s="34"/>
    </row>
    <row r="1414" spans="1:7" x14ac:dyDescent="0.3">
      <c r="A1414" s="34"/>
      <c r="B1414" s="34"/>
      <c r="C1414" s="34"/>
      <c r="D1414" s="34"/>
      <c r="E1414" s="34"/>
      <c r="F1414" s="34"/>
      <c r="G1414" s="34"/>
    </row>
    <row r="1415" spans="1:7" x14ac:dyDescent="0.3">
      <c r="A1415" s="34"/>
      <c r="B1415" s="34"/>
      <c r="C1415" s="34"/>
      <c r="D1415" s="34"/>
      <c r="E1415" s="34"/>
      <c r="F1415" s="34"/>
      <c r="G1415" s="34"/>
    </row>
    <row r="1416" spans="1:7" x14ac:dyDescent="0.3">
      <c r="A1416" s="34"/>
      <c r="B1416" s="34"/>
      <c r="C1416" s="34"/>
      <c r="D1416" s="34"/>
      <c r="E1416" s="34"/>
      <c r="F1416" s="34"/>
      <c r="G1416" s="34"/>
    </row>
    <row r="1417" spans="1:7" x14ac:dyDescent="0.3">
      <c r="A1417" s="34"/>
      <c r="B1417" s="34"/>
      <c r="C1417" s="34"/>
      <c r="D1417" s="34"/>
      <c r="E1417" s="34"/>
      <c r="F1417" s="34"/>
      <c r="G1417" s="34"/>
    </row>
    <row r="1418" spans="1:7" x14ac:dyDescent="0.3">
      <c r="A1418" s="34"/>
      <c r="B1418" s="34"/>
      <c r="C1418" s="34"/>
      <c r="D1418" s="34"/>
      <c r="E1418" s="34"/>
      <c r="F1418" s="34"/>
      <c r="G1418" s="34"/>
    </row>
    <row r="1419" spans="1:7" x14ac:dyDescent="0.3">
      <c r="A1419" s="34"/>
      <c r="B1419" s="34"/>
      <c r="C1419" s="34"/>
      <c r="D1419" s="34"/>
      <c r="E1419" s="34"/>
      <c r="F1419" s="34"/>
      <c r="G1419" s="34"/>
    </row>
    <row r="1420" spans="1:7" x14ac:dyDescent="0.3">
      <c r="A1420" s="34"/>
      <c r="B1420" s="34"/>
      <c r="C1420" s="34"/>
      <c r="D1420" s="34"/>
      <c r="E1420" s="34"/>
      <c r="F1420" s="34"/>
      <c r="G1420" s="34"/>
    </row>
    <row r="1421" spans="1:7" x14ac:dyDescent="0.3">
      <c r="A1421" s="34"/>
      <c r="B1421" s="34"/>
      <c r="C1421" s="34"/>
      <c r="D1421" s="34"/>
      <c r="E1421" s="34"/>
      <c r="F1421" s="34"/>
      <c r="G1421" s="34"/>
    </row>
    <row r="1422" spans="1:7" x14ac:dyDescent="0.3">
      <c r="A1422" s="34"/>
      <c r="B1422" s="34"/>
      <c r="C1422" s="34"/>
      <c r="D1422" s="34"/>
      <c r="E1422" s="34"/>
      <c r="F1422" s="34"/>
      <c r="G1422" s="34"/>
    </row>
    <row r="1423" spans="1:7" x14ac:dyDescent="0.3">
      <c r="A1423" s="34"/>
      <c r="B1423" s="34"/>
      <c r="C1423" s="34"/>
      <c r="D1423" s="34"/>
      <c r="E1423" s="34"/>
      <c r="F1423" s="34"/>
      <c r="G1423" s="34"/>
    </row>
    <row r="1424" spans="1:7" x14ac:dyDescent="0.3">
      <c r="A1424" s="34"/>
      <c r="B1424" s="34"/>
      <c r="C1424" s="34"/>
      <c r="D1424" s="34"/>
      <c r="E1424" s="34"/>
      <c r="F1424" s="34"/>
      <c r="G1424" s="34"/>
    </row>
    <row r="1425" spans="1:7" x14ac:dyDescent="0.3">
      <c r="A1425" s="34"/>
      <c r="B1425" s="34"/>
      <c r="C1425" s="34"/>
      <c r="D1425" s="34"/>
      <c r="E1425" s="34"/>
      <c r="F1425" s="34"/>
      <c r="G1425" s="34"/>
    </row>
    <row r="1426" spans="1:7" x14ac:dyDescent="0.3">
      <c r="A1426" s="34"/>
      <c r="B1426" s="34"/>
      <c r="C1426" s="34"/>
      <c r="D1426" s="34"/>
      <c r="E1426" s="34"/>
      <c r="F1426" s="34"/>
      <c r="G1426" s="34"/>
    </row>
    <row r="1427" spans="1:7" x14ac:dyDescent="0.3">
      <c r="A1427" s="34"/>
      <c r="B1427" s="34"/>
      <c r="C1427" s="34"/>
      <c r="D1427" s="34"/>
      <c r="E1427" s="34"/>
      <c r="F1427" s="34"/>
      <c r="G1427" s="34"/>
    </row>
    <row r="1428" spans="1:7" x14ac:dyDescent="0.3">
      <c r="A1428" s="34"/>
      <c r="B1428" s="34"/>
      <c r="C1428" s="34"/>
      <c r="D1428" s="34"/>
      <c r="E1428" s="34"/>
      <c r="F1428" s="34"/>
      <c r="G1428" s="34"/>
    </row>
    <row r="1429" spans="1:7" x14ac:dyDescent="0.3">
      <c r="A1429" s="34"/>
      <c r="B1429" s="34"/>
      <c r="C1429" s="34"/>
      <c r="D1429" s="34"/>
      <c r="E1429" s="34"/>
      <c r="F1429" s="34"/>
      <c r="G1429" s="34"/>
    </row>
    <row r="1430" spans="1:7" x14ac:dyDescent="0.3">
      <c r="A1430" s="34"/>
      <c r="B1430" s="34"/>
      <c r="C1430" s="34"/>
      <c r="D1430" s="34"/>
      <c r="E1430" s="34"/>
      <c r="F1430" s="34"/>
      <c r="G1430" s="34"/>
    </row>
    <row r="1431" spans="1:7" x14ac:dyDescent="0.3">
      <c r="A1431" s="34"/>
      <c r="B1431" s="34"/>
      <c r="C1431" s="34"/>
      <c r="D1431" s="34"/>
      <c r="E1431" s="34"/>
      <c r="F1431" s="34"/>
      <c r="G1431" s="34"/>
    </row>
    <row r="1432" spans="1:7" x14ac:dyDescent="0.3">
      <c r="A1432" s="34"/>
      <c r="B1432" s="34"/>
      <c r="C1432" s="34"/>
      <c r="D1432" s="34"/>
      <c r="E1432" s="34"/>
      <c r="F1432" s="34"/>
      <c r="G1432" s="34"/>
    </row>
    <row r="1433" spans="1:7" x14ac:dyDescent="0.3">
      <c r="A1433" s="34"/>
      <c r="B1433" s="34"/>
      <c r="C1433" s="34"/>
      <c r="D1433" s="34"/>
      <c r="E1433" s="34"/>
      <c r="F1433" s="34"/>
      <c r="G1433" s="34"/>
    </row>
    <row r="1434" spans="1:7" x14ac:dyDescent="0.3">
      <c r="A1434" s="34"/>
      <c r="B1434" s="34"/>
      <c r="C1434" s="34"/>
      <c r="D1434" s="34"/>
      <c r="E1434" s="34"/>
      <c r="F1434" s="34"/>
      <c r="G1434" s="34"/>
    </row>
    <row r="1435" spans="1:7" x14ac:dyDescent="0.3">
      <c r="A1435" s="34"/>
      <c r="B1435" s="34"/>
      <c r="C1435" s="34"/>
      <c r="D1435" s="34"/>
      <c r="E1435" s="34"/>
      <c r="F1435" s="34"/>
      <c r="G1435" s="34"/>
    </row>
    <row r="1436" spans="1:7" x14ac:dyDescent="0.3">
      <c r="A1436" s="34"/>
      <c r="B1436" s="34"/>
      <c r="C1436" s="34"/>
      <c r="D1436" s="34"/>
      <c r="E1436" s="34"/>
      <c r="F1436" s="34"/>
      <c r="G1436" s="34"/>
    </row>
    <row r="1437" spans="1:7" x14ac:dyDescent="0.3">
      <c r="A1437" s="34"/>
      <c r="B1437" s="34"/>
      <c r="C1437" s="34"/>
      <c r="D1437" s="34"/>
      <c r="E1437" s="34"/>
      <c r="F1437" s="34"/>
      <c r="G1437" s="34"/>
    </row>
    <row r="1438" spans="1:7" x14ac:dyDescent="0.3">
      <c r="A1438" s="34"/>
      <c r="B1438" s="34"/>
      <c r="C1438" s="34"/>
      <c r="D1438" s="34"/>
      <c r="E1438" s="34"/>
      <c r="F1438" s="34"/>
      <c r="G1438" s="34"/>
    </row>
    <row r="1439" spans="1:7" x14ac:dyDescent="0.3">
      <c r="A1439" s="34"/>
      <c r="B1439" s="34"/>
      <c r="C1439" s="34"/>
      <c r="D1439" s="34"/>
      <c r="E1439" s="34"/>
      <c r="F1439" s="34"/>
      <c r="G1439" s="34"/>
    </row>
    <row r="1440" spans="1:7" x14ac:dyDescent="0.3">
      <c r="A1440" s="34"/>
      <c r="B1440" s="34"/>
      <c r="C1440" s="34"/>
      <c r="D1440" s="34"/>
      <c r="E1440" s="34"/>
      <c r="F1440" s="34"/>
      <c r="G1440" s="34"/>
    </row>
    <row r="1441" spans="1:7" x14ac:dyDescent="0.3">
      <c r="A1441" s="34"/>
      <c r="B1441" s="34"/>
      <c r="C1441" s="34"/>
      <c r="D1441" s="34"/>
      <c r="E1441" s="34"/>
      <c r="F1441" s="34"/>
      <c r="G1441" s="34"/>
    </row>
    <row r="1442" spans="1:7" x14ac:dyDescent="0.3">
      <c r="A1442" s="34"/>
      <c r="B1442" s="34"/>
      <c r="C1442" s="34"/>
      <c r="D1442" s="34"/>
      <c r="E1442" s="34"/>
      <c r="F1442" s="34"/>
      <c r="G1442" s="34"/>
    </row>
    <row r="1443" spans="1:7" x14ac:dyDescent="0.3">
      <c r="A1443" s="34"/>
      <c r="B1443" s="34"/>
      <c r="C1443" s="34"/>
      <c r="D1443" s="34"/>
      <c r="E1443" s="34"/>
      <c r="F1443" s="34"/>
      <c r="G1443" s="34"/>
    </row>
    <row r="1444" spans="1:7" x14ac:dyDescent="0.3">
      <c r="A1444" s="34"/>
      <c r="B1444" s="34"/>
      <c r="C1444" s="34"/>
      <c r="D1444" s="34"/>
      <c r="E1444" s="34"/>
      <c r="F1444" s="34"/>
      <c r="G1444" s="34"/>
    </row>
    <row r="1445" spans="1:7" x14ac:dyDescent="0.3">
      <c r="A1445" s="34"/>
      <c r="B1445" s="34"/>
      <c r="C1445" s="34"/>
      <c r="D1445" s="34"/>
      <c r="E1445" s="34"/>
      <c r="F1445" s="34"/>
      <c r="G1445" s="34"/>
    </row>
    <row r="1446" spans="1:7" x14ac:dyDescent="0.3">
      <c r="A1446" s="34"/>
      <c r="B1446" s="34"/>
      <c r="C1446" s="34"/>
      <c r="D1446" s="34"/>
      <c r="E1446" s="34"/>
      <c r="F1446" s="34"/>
      <c r="G1446" s="34"/>
    </row>
    <row r="1447" spans="1:7" x14ac:dyDescent="0.3">
      <c r="A1447" s="34"/>
      <c r="B1447" s="34"/>
      <c r="C1447" s="34"/>
      <c r="D1447" s="34"/>
      <c r="E1447" s="34"/>
      <c r="F1447" s="34"/>
      <c r="G1447" s="34"/>
    </row>
    <row r="1448" spans="1:7" x14ac:dyDescent="0.3">
      <c r="A1448" s="34"/>
      <c r="B1448" s="34"/>
      <c r="C1448" s="34"/>
      <c r="D1448" s="34"/>
      <c r="E1448" s="34"/>
      <c r="F1448" s="34"/>
      <c r="G1448" s="34"/>
    </row>
    <row r="1449" spans="1:7" x14ac:dyDescent="0.3">
      <c r="A1449" s="34"/>
      <c r="B1449" s="34"/>
      <c r="C1449" s="34"/>
      <c r="D1449" s="34"/>
      <c r="E1449" s="34"/>
      <c r="F1449" s="34"/>
      <c r="G1449" s="34"/>
    </row>
    <row r="1450" spans="1:7" x14ac:dyDescent="0.3">
      <c r="A1450" s="34"/>
      <c r="B1450" s="34"/>
      <c r="C1450" s="34"/>
      <c r="D1450" s="34"/>
      <c r="E1450" s="34"/>
      <c r="F1450" s="34"/>
      <c r="G1450" s="34"/>
    </row>
    <row r="1451" spans="1:7" x14ac:dyDescent="0.3">
      <c r="A1451" s="34"/>
      <c r="B1451" s="34"/>
      <c r="C1451" s="34"/>
      <c r="D1451" s="34"/>
      <c r="E1451" s="34"/>
      <c r="F1451" s="34"/>
      <c r="G1451" s="34"/>
    </row>
    <row r="1452" spans="1:7" x14ac:dyDescent="0.3">
      <c r="A1452" s="34"/>
      <c r="B1452" s="34"/>
      <c r="C1452" s="34"/>
      <c r="D1452" s="34"/>
      <c r="E1452" s="34"/>
      <c r="F1452" s="34"/>
      <c r="G1452" s="34"/>
    </row>
    <row r="1453" spans="1:7" x14ac:dyDescent="0.3">
      <c r="A1453" s="34"/>
      <c r="B1453" s="34"/>
      <c r="C1453" s="34"/>
      <c r="D1453" s="34"/>
      <c r="E1453" s="34"/>
      <c r="F1453" s="34"/>
      <c r="G1453" s="34"/>
    </row>
    <row r="1454" spans="1:7" x14ac:dyDescent="0.3">
      <c r="A1454" s="34"/>
      <c r="B1454" s="34"/>
      <c r="C1454" s="34"/>
      <c r="D1454" s="34"/>
      <c r="E1454" s="34"/>
      <c r="F1454" s="34"/>
      <c r="G1454" s="34"/>
    </row>
    <row r="1455" spans="1:7" x14ac:dyDescent="0.3">
      <c r="A1455" s="34"/>
      <c r="B1455" s="34"/>
      <c r="C1455" s="34"/>
      <c r="D1455" s="34"/>
      <c r="E1455" s="34"/>
      <c r="F1455" s="34"/>
      <c r="G1455" s="34"/>
    </row>
    <row r="1456" spans="1:7" x14ac:dyDescent="0.3">
      <c r="A1456" s="34"/>
      <c r="B1456" s="34"/>
      <c r="C1456" s="34"/>
      <c r="D1456" s="34"/>
      <c r="E1456" s="34"/>
      <c r="F1456" s="34"/>
      <c r="G1456" s="34"/>
    </row>
    <row r="1457" spans="1:7" x14ac:dyDescent="0.3">
      <c r="A1457" s="34"/>
      <c r="B1457" s="34"/>
      <c r="C1457" s="34"/>
      <c r="D1457" s="34"/>
      <c r="E1457" s="34"/>
      <c r="F1457" s="34"/>
      <c r="G1457" s="34"/>
    </row>
    <row r="1458" spans="1:7" x14ac:dyDescent="0.3">
      <c r="A1458" s="34"/>
      <c r="B1458" s="34"/>
      <c r="C1458" s="34"/>
      <c r="D1458" s="34"/>
      <c r="E1458" s="34"/>
      <c r="F1458" s="34"/>
      <c r="G1458" s="34"/>
    </row>
    <row r="1459" spans="1:7" x14ac:dyDescent="0.3">
      <c r="A1459" s="34"/>
      <c r="B1459" s="34"/>
      <c r="C1459" s="34"/>
      <c r="D1459" s="34"/>
      <c r="E1459" s="34"/>
      <c r="F1459" s="34"/>
      <c r="G1459" s="34"/>
    </row>
    <row r="1460" spans="1:7" x14ac:dyDescent="0.3">
      <c r="A1460" s="34"/>
      <c r="B1460" s="34"/>
      <c r="C1460" s="34"/>
      <c r="D1460" s="34"/>
      <c r="E1460" s="34"/>
      <c r="F1460" s="34"/>
      <c r="G1460" s="34"/>
    </row>
    <row r="1461" spans="1:7" x14ac:dyDescent="0.3">
      <c r="A1461" s="34"/>
      <c r="B1461" s="34"/>
      <c r="C1461" s="34"/>
      <c r="D1461" s="34"/>
      <c r="E1461" s="34"/>
      <c r="F1461" s="34"/>
      <c r="G1461" s="34"/>
    </row>
    <row r="1462" spans="1:7" x14ac:dyDescent="0.3">
      <c r="A1462" s="34"/>
      <c r="B1462" s="34"/>
      <c r="C1462" s="34"/>
      <c r="D1462" s="34"/>
      <c r="E1462" s="34"/>
      <c r="F1462" s="34"/>
      <c r="G1462" s="34"/>
    </row>
    <row r="1463" spans="1:7" x14ac:dyDescent="0.3">
      <c r="A1463" s="34"/>
      <c r="B1463" s="34"/>
      <c r="C1463" s="34"/>
      <c r="D1463" s="34"/>
      <c r="E1463" s="34"/>
      <c r="F1463" s="34"/>
      <c r="G1463" s="34"/>
    </row>
    <row r="1464" spans="1:7" x14ac:dyDescent="0.3">
      <c r="A1464" s="34"/>
      <c r="B1464" s="34"/>
      <c r="C1464" s="34"/>
      <c r="D1464" s="34"/>
      <c r="E1464" s="34"/>
      <c r="F1464" s="34"/>
      <c r="G1464" s="34"/>
    </row>
    <row r="1465" spans="1:7" x14ac:dyDescent="0.3">
      <c r="A1465" s="34"/>
      <c r="B1465" s="34"/>
      <c r="C1465" s="34"/>
      <c r="D1465" s="34"/>
      <c r="E1465" s="34"/>
      <c r="F1465" s="34"/>
      <c r="G1465" s="34"/>
    </row>
    <row r="1466" spans="1:7" x14ac:dyDescent="0.3">
      <c r="A1466" s="34"/>
      <c r="B1466" s="34"/>
      <c r="C1466" s="34"/>
      <c r="D1466" s="34"/>
      <c r="E1466" s="34"/>
      <c r="F1466" s="34"/>
      <c r="G1466" s="34"/>
    </row>
    <row r="1467" spans="1:7" x14ac:dyDescent="0.3">
      <c r="A1467" s="34"/>
      <c r="B1467" s="34"/>
      <c r="C1467" s="34"/>
      <c r="D1467" s="34"/>
      <c r="E1467" s="34"/>
      <c r="F1467" s="34"/>
      <c r="G1467" s="34"/>
    </row>
    <row r="1468" spans="1:7" x14ac:dyDescent="0.3">
      <c r="A1468" s="34"/>
      <c r="B1468" s="34"/>
      <c r="C1468" s="34"/>
      <c r="D1468" s="34"/>
      <c r="E1468" s="34"/>
      <c r="F1468" s="34"/>
      <c r="G1468" s="34"/>
    </row>
    <row r="1469" spans="1:7" x14ac:dyDescent="0.3">
      <c r="A1469" s="34"/>
      <c r="B1469" s="34"/>
      <c r="C1469" s="34"/>
      <c r="D1469" s="34"/>
      <c r="E1469" s="34"/>
      <c r="F1469" s="34"/>
      <c r="G1469" s="34"/>
    </row>
    <row r="1470" spans="1:7" x14ac:dyDescent="0.3">
      <c r="A1470" s="34"/>
      <c r="B1470" s="34"/>
      <c r="C1470" s="34"/>
      <c r="D1470" s="34"/>
      <c r="E1470" s="34"/>
      <c r="F1470" s="34"/>
      <c r="G1470" s="34"/>
    </row>
    <row r="1471" spans="1:7" x14ac:dyDescent="0.3">
      <c r="A1471" s="34"/>
      <c r="B1471" s="34"/>
      <c r="C1471" s="34"/>
      <c r="D1471" s="34"/>
      <c r="E1471" s="34"/>
      <c r="F1471" s="34"/>
      <c r="G1471" s="34"/>
    </row>
    <row r="1472" spans="1:7" x14ac:dyDescent="0.3">
      <c r="A1472" s="34"/>
      <c r="B1472" s="34"/>
      <c r="C1472" s="34"/>
      <c r="D1472" s="34"/>
      <c r="E1472" s="34"/>
      <c r="F1472" s="34"/>
      <c r="G1472" s="34"/>
    </row>
    <row r="1473" spans="1:7" x14ac:dyDescent="0.3">
      <c r="A1473" s="34"/>
      <c r="B1473" s="34"/>
      <c r="C1473" s="34"/>
      <c r="D1473" s="34"/>
      <c r="E1473" s="34"/>
      <c r="F1473" s="34"/>
      <c r="G1473" s="34"/>
    </row>
    <row r="1474" spans="1:7" x14ac:dyDescent="0.3">
      <c r="A1474" s="34"/>
      <c r="B1474" s="34"/>
      <c r="C1474" s="34"/>
      <c r="D1474" s="34"/>
      <c r="E1474" s="34"/>
      <c r="F1474" s="34"/>
      <c r="G1474" s="34"/>
    </row>
    <row r="1475" spans="1:7" x14ac:dyDescent="0.3">
      <c r="A1475" s="34"/>
      <c r="B1475" s="34"/>
      <c r="C1475" s="34"/>
      <c r="D1475" s="34"/>
      <c r="E1475" s="34"/>
      <c r="F1475" s="34"/>
      <c r="G1475" s="34"/>
    </row>
    <row r="1476" spans="1:7" x14ac:dyDescent="0.3">
      <c r="A1476" s="34"/>
      <c r="B1476" s="34"/>
      <c r="C1476" s="34"/>
      <c r="D1476" s="34"/>
      <c r="E1476" s="34"/>
      <c r="F1476" s="34"/>
      <c r="G1476" s="34"/>
    </row>
    <row r="1477" spans="1:7" x14ac:dyDescent="0.3">
      <c r="A1477" s="34"/>
      <c r="B1477" s="34"/>
      <c r="C1477" s="34"/>
      <c r="D1477" s="34"/>
      <c r="E1477" s="34"/>
      <c r="F1477" s="34"/>
      <c r="G1477" s="34"/>
    </row>
    <row r="1478" spans="1:7" x14ac:dyDescent="0.3">
      <c r="A1478" s="34"/>
      <c r="B1478" s="34"/>
      <c r="C1478" s="34"/>
      <c r="D1478" s="34"/>
      <c r="E1478" s="34"/>
      <c r="F1478" s="34"/>
      <c r="G1478" s="34"/>
    </row>
    <row r="1479" spans="1:7" x14ac:dyDescent="0.3">
      <c r="A1479" s="34"/>
      <c r="B1479" s="34"/>
      <c r="C1479" s="34"/>
      <c r="D1479" s="34"/>
      <c r="E1479" s="34"/>
      <c r="F1479" s="34"/>
      <c r="G1479" s="34"/>
    </row>
    <row r="1480" spans="1:7" x14ac:dyDescent="0.3">
      <c r="A1480" s="34"/>
      <c r="B1480" s="34"/>
      <c r="C1480" s="34"/>
      <c r="D1480" s="34"/>
      <c r="E1480" s="34"/>
      <c r="F1480" s="34"/>
      <c r="G1480" s="34"/>
    </row>
    <row r="1481" spans="1:7" x14ac:dyDescent="0.3">
      <c r="A1481" s="34"/>
      <c r="B1481" s="34"/>
      <c r="C1481" s="34"/>
      <c r="D1481" s="34"/>
      <c r="E1481" s="34"/>
      <c r="F1481" s="34"/>
      <c r="G1481" s="34"/>
    </row>
    <row r="1482" spans="1:7" x14ac:dyDescent="0.3">
      <c r="A1482" s="34"/>
      <c r="B1482" s="34"/>
      <c r="C1482" s="34"/>
      <c r="D1482" s="34"/>
      <c r="E1482" s="34"/>
      <c r="F1482" s="34"/>
      <c r="G1482" s="34"/>
    </row>
    <row r="1483" spans="1:7" x14ac:dyDescent="0.3">
      <c r="A1483" s="34"/>
      <c r="B1483" s="34"/>
      <c r="C1483" s="34"/>
      <c r="D1483" s="34"/>
      <c r="E1483" s="34"/>
      <c r="F1483" s="34"/>
      <c r="G1483" s="34"/>
    </row>
    <row r="1484" spans="1:7" x14ac:dyDescent="0.3">
      <c r="A1484" s="34"/>
      <c r="B1484" s="34"/>
      <c r="C1484" s="34"/>
      <c r="D1484" s="34"/>
      <c r="E1484" s="34"/>
      <c r="F1484" s="34"/>
      <c r="G1484" s="34"/>
    </row>
    <row r="1485" spans="1:7" x14ac:dyDescent="0.3">
      <c r="A1485" s="34"/>
      <c r="B1485" s="34"/>
      <c r="C1485" s="34"/>
      <c r="D1485" s="34"/>
      <c r="E1485" s="34"/>
      <c r="F1485" s="34"/>
      <c r="G1485" s="34"/>
    </row>
    <row r="1486" spans="1:7" x14ac:dyDescent="0.3">
      <c r="A1486" s="34"/>
      <c r="B1486" s="34"/>
      <c r="C1486" s="34"/>
      <c r="D1486" s="34"/>
      <c r="E1486" s="34"/>
      <c r="F1486" s="34"/>
      <c r="G1486" s="34"/>
    </row>
    <row r="1487" spans="1:7" x14ac:dyDescent="0.3">
      <c r="A1487" s="34"/>
      <c r="B1487" s="34"/>
      <c r="C1487" s="34"/>
      <c r="D1487" s="34"/>
      <c r="E1487" s="34"/>
      <c r="F1487" s="34"/>
      <c r="G1487" s="34"/>
    </row>
    <row r="1488" spans="1:7" x14ac:dyDescent="0.3">
      <c r="A1488" s="34"/>
      <c r="B1488" s="34"/>
      <c r="C1488" s="34"/>
      <c r="D1488" s="34"/>
      <c r="E1488" s="34"/>
      <c r="F1488" s="34"/>
      <c r="G1488" s="34"/>
    </row>
    <row r="1489" spans="1:7" x14ac:dyDescent="0.3">
      <c r="A1489" s="34"/>
      <c r="B1489" s="34"/>
      <c r="C1489" s="34"/>
      <c r="D1489" s="34"/>
      <c r="E1489" s="34"/>
      <c r="F1489" s="34"/>
      <c r="G1489" s="34"/>
    </row>
    <row r="1490" spans="1:7" x14ac:dyDescent="0.3">
      <c r="A1490" s="34"/>
      <c r="B1490" s="34"/>
      <c r="C1490" s="34"/>
      <c r="D1490" s="34"/>
      <c r="E1490" s="34"/>
      <c r="F1490" s="34"/>
      <c r="G1490" s="34"/>
    </row>
    <row r="1491" spans="1:7" x14ac:dyDescent="0.3">
      <c r="A1491" s="34"/>
      <c r="B1491" s="34"/>
      <c r="C1491" s="34"/>
      <c r="D1491" s="34"/>
      <c r="E1491" s="34"/>
      <c r="F1491" s="34"/>
      <c r="G1491" s="34"/>
    </row>
    <row r="1492" spans="1:7" x14ac:dyDescent="0.3">
      <c r="A1492" s="34"/>
      <c r="B1492" s="34"/>
      <c r="C1492" s="34"/>
      <c r="D1492" s="34"/>
      <c r="E1492" s="34"/>
      <c r="F1492" s="34"/>
      <c r="G1492" s="34"/>
    </row>
    <row r="1493" spans="1:7" x14ac:dyDescent="0.3">
      <c r="A1493" s="34"/>
      <c r="B1493" s="34"/>
      <c r="C1493" s="34"/>
      <c r="D1493" s="34"/>
      <c r="E1493" s="34"/>
      <c r="F1493" s="34"/>
      <c r="G1493" s="34"/>
    </row>
    <row r="1494" spans="1:7" x14ac:dyDescent="0.3">
      <c r="A1494" s="34"/>
      <c r="B1494" s="34"/>
      <c r="C1494" s="34"/>
      <c r="D1494" s="34"/>
      <c r="E1494" s="34"/>
      <c r="F1494" s="34"/>
      <c r="G1494" s="34"/>
    </row>
    <row r="1495" spans="1:7" x14ac:dyDescent="0.3">
      <c r="A1495" s="34"/>
      <c r="B1495" s="34"/>
      <c r="C1495" s="34"/>
      <c r="D1495" s="34"/>
      <c r="E1495" s="34"/>
      <c r="F1495" s="34"/>
      <c r="G1495" s="34"/>
    </row>
    <row r="1496" spans="1:7" x14ac:dyDescent="0.3">
      <c r="A1496" s="34"/>
      <c r="B1496" s="34"/>
      <c r="C1496" s="34"/>
      <c r="D1496" s="34"/>
      <c r="E1496" s="34"/>
      <c r="F1496" s="34"/>
      <c r="G1496" s="34"/>
    </row>
    <row r="1497" spans="1:7" x14ac:dyDescent="0.3">
      <c r="A1497" s="34"/>
      <c r="B1497" s="34"/>
      <c r="C1497" s="34"/>
      <c r="D1497" s="34"/>
      <c r="E1497" s="34"/>
      <c r="F1497" s="34"/>
      <c r="G1497" s="34"/>
    </row>
    <row r="1498" spans="1:7" x14ac:dyDescent="0.3">
      <c r="A1498" s="34"/>
      <c r="B1498" s="34"/>
      <c r="C1498" s="34"/>
      <c r="D1498" s="34"/>
      <c r="E1498" s="34"/>
      <c r="F1498" s="34"/>
      <c r="G1498" s="34"/>
    </row>
    <row r="1499" spans="1:7" x14ac:dyDescent="0.3">
      <c r="A1499" s="34"/>
      <c r="B1499" s="34"/>
      <c r="C1499" s="34"/>
      <c r="D1499" s="34"/>
      <c r="E1499" s="34"/>
      <c r="F1499" s="34"/>
      <c r="G1499" s="34"/>
    </row>
    <row r="1500" spans="1:7" x14ac:dyDescent="0.3">
      <c r="A1500" s="34"/>
      <c r="B1500" s="34"/>
      <c r="C1500" s="34"/>
      <c r="D1500" s="34"/>
      <c r="E1500" s="34"/>
      <c r="F1500" s="34"/>
      <c r="G1500" s="34"/>
    </row>
    <row r="1501" spans="1:7" x14ac:dyDescent="0.3">
      <c r="A1501" s="34"/>
      <c r="B1501" s="34"/>
      <c r="C1501" s="34"/>
      <c r="D1501" s="34"/>
      <c r="E1501" s="34"/>
      <c r="F1501" s="34"/>
      <c r="G1501" s="34"/>
    </row>
    <row r="1502" spans="1:7" x14ac:dyDescent="0.3">
      <c r="A1502" s="34"/>
      <c r="B1502" s="34"/>
      <c r="C1502" s="34"/>
      <c r="D1502" s="34"/>
      <c r="E1502" s="34"/>
      <c r="F1502" s="34"/>
      <c r="G1502" s="34"/>
    </row>
    <row r="1503" spans="1:7" x14ac:dyDescent="0.3">
      <c r="A1503" s="34"/>
      <c r="B1503" s="34"/>
      <c r="C1503" s="34"/>
      <c r="D1503" s="34"/>
      <c r="E1503" s="34"/>
      <c r="F1503" s="34"/>
      <c r="G1503" s="34"/>
    </row>
    <row r="1504" spans="1:7" x14ac:dyDescent="0.3">
      <c r="A1504" s="34"/>
      <c r="B1504" s="34"/>
      <c r="C1504" s="34"/>
      <c r="D1504" s="34"/>
      <c r="E1504" s="34"/>
      <c r="F1504" s="34"/>
      <c r="G1504" s="34"/>
    </row>
    <row r="1505" spans="1:7" x14ac:dyDescent="0.3">
      <c r="A1505" s="34"/>
      <c r="B1505" s="34"/>
      <c r="C1505" s="34"/>
      <c r="D1505" s="34"/>
      <c r="E1505" s="34"/>
      <c r="F1505" s="34"/>
      <c r="G1505" s="34"/>
    </row>
    <row r="1506" spans="1:7" x14ac:dyDescent="0.3">
      <c r="A1506" s="34"/>
      <c r="B1506" s="34"/>
      <c r="C1506" s="34"/>
      <c r="D1506" s="34"/>
      <c r="E1506" s="34"/>
      <c r="F1506" s="34"/>
      <c r="G1506" s="34"/>
    </row>
    <row r="1507" spans="1:7" x14ac:dyDescent="0.3">
      <c r="A1507" s="34"/>
      <c r="B1507" s="34"/>
      <c r="C1507" s="34"/>
      <c r="D1507" s="34"/>
      <c r="E1507" s="34"/>
      <c r="F1507" s="34"/>
      <c r="G1507" s="34"/>
    </row>
    <row r="1508" spans="1:7" x14ac:dyDescent="0.3">
      <c r="A1508" s="34"/>
      <c r="B1508" s="34"/>
      <c r="C1508" s="34"/>
      <c r="D1508" s="34"/>
      <c r="E1508" s="34"/>
      <c r="F1508" s="34"/>
      <c r="G1508" s="34"/>
    </row>
    <row r="1509" spans="1:7" x14ac:dyDescent="0.3">
      <c r="A1509" s="34"/>
      <c r="B1509" s="34"/>
      <c r="C1509" s="34"/>
      <c r="D1509" s="34"/>
      <c r="E1509" s="34"/>
      <c r="F1509" s="34"/>
      <c r="G1509" s="34"/>
    </row>
    <row r="1510" spans="1:7" x14ac:dyDescent="0.3">
      <c r="A1510" s="34"/>
      <c r="B1510" s="34"/>
      <c r="C1510" s="34"/>
      <c r="D1510" s="34"/>
      <c r="E1510" s="34"/>
      <c r="F1510" s="34"/>
      <c r="G1510" s="34"/>
    </row>
    <row r="1511" spans="1:7" x14ac:dyDescent="0.3">
      <c r="A1511" s="34"/>
      <c r="B1511" s="34"/>
      <c r="C1511" s="34"/>
      <c r="D1511" s="34"/>
      <c r="E1511" s="34"/>
      <c r="F1511" s="34"/>
      <c r="G1511" s="34"/>
    </row>
    <row r="1512" spans="1:7" x14ac:dyDescent="0.3">
      <c r="A1512" s="34"/>
      <c r="B1512" s="34"/>
      <c r="C1512" s="34"/>
      <c r="D1512" s="34"/>
      <c r="E1512" s="34"/>
      <c r="F1512" s="34"/>
      <c r="G1512" s="34"/>
    </row>
    <row r="1513" spans="1:7" x14ac:dyDescent="0.3">
      <c r="A1513" s="34"/>
      <c r="B1513" s="34"/>
      <c r="C1513" s="34"/>
      <c r="D1513" s="34"/>
      <c r="E1513" s="34"/>
      <c r="F1513" s="34"/>
      <c r="G1513" s="34"/>
    </row>
    <row r="1514" spans="1:7" x14ac:dyDescent="0.3">
      <c r="A1514" s="34"/>
      <c r="B1514" s="34"/>
      <c r="C1514" s="34"/>
      <c r="D1514" s="34"/>
      <c r="E1514" s="34"/>
      <c r="F1514" s="34"/>
      <c r="G1514" s="34"/>
    </row>
    <row r="1515" spans="1:7" x14ac:dyDescent="0.3">
      <c r="A1515" s="34"/>
      <c r="B1515" s="34"/>
      <c r="C1515" s="34"/>
      <c r="D1515" s="34"/>
      <c r="E1515" s="34"/>
      <c r="F1515" s="34"/>
      <c r="G1515" s="34"/>
    </row>
    <row r="1516" spans="1:7" x14ac:dyDescent="0.3">
      <c r="A1516" s="34"/>
      <c r="B1516" s="34"/>
      <c r="C1516" s="34"/>
      <c r="D1516" s="34"/>
      <c r="E1516" s="34"/>
      <c r="F1516" s="34"/>
      <c r="G1516" s="34"/>
    </row>
    <row r="1517" spans="1:7" x14ac:dyDescent="0.3">
      <c r="A1517" s="34"/>
      <c r="B1517" s="34"/>
      <c r="C1517" s="34"/>
      <c r="D1517" s="34"/>
      <c r="E1517" s="34"/>
      <c r="F1517" s="34"/>
      <c r="G1517" s="34"/>
    </row>
    <row r="1518" spans="1:7" x14ac:dyDescent="0.3">
      <c r="A1518" s="34"/>
      <c r="B1518" s="34"/>
      <c r="C1518" s="34"/>
      <c r="D1518" s="34"/>
      <c r="E1518" s="34"/>
      <c r="F1518" s="34"/>
      <c r="G1518" s="34"/>
    </row>
    <row r="1519" spans="1:7" x14ac:dyDescent="0.3">
      <c r="A1519" s="34"/>
      <c r="B1519" s="34"/>
      <c r="C1519" s="34"/>
      <c r="D1519" s="34"/>
      <c r="E1519" s="34"/>
      <c r="F1519" s="34"/>
      <c r="G1519" s="34"/>
    </row>
    <row r="1520" spans="1:7" x14ac:dyDescent="0.3">
      <c r="A1520" s="34"/>
      <c r="B1520" s="34"/>
      <c r="C1520" s="34"/>
      <c r="D1520" s="34"/>
      <c r="E1520" s="34"/>
      <c r="F1520" s="34"/>
      <c r="G1520" s="34"/>
    </row>
    <row r="1521" spans="1:7" x14ac:dyDescent="0.3">
      <c r="A1521" s="34"/>
      <c r="B1521" s="34"/>
      <c r="C1521" s="34"/>
      <c r="D1521" s="34"/>
      <c r="E1521" s="34"/>
      <c r="F1521" s="34"/>
      <c r="G1521" s="34"/>
    </row>
    <row r="1522" spans="1:7" x14ac:dyDescent="0.3">
      <c r="A1522" s="34"/>
      <c r="B1522" s="34"/>
      <c r="C1522" s="34"/>
      <c r="D1522" s="34"/>
      <c r="E1522" s="34"/>
      <c r="F1522" s="34"/>
      <c r="G1522" s="34"/>
    </row>
    <row r="1523" spans="1:7" x14ac:dyDescent="0.3">
      <c r="A1523" s="34"/>
      <c r="B1523" s="34"/>
      <c r="C1523" s="34"/>
      <c r="D1523" s="34"/>
      <c r="E1523" s="34"/>
      <c r="F1523" s="34"/>
      <c r="G1523" s="34"/>
    </row>
    <row r="1524" spans="1:7" x14ac:dyDescent="0.3">
      <c r="A1524" s="34"/>
      <c r="B1524" s="34"/>
      <c r="C1524" s="34"/>
      <c r="D1524" s="34"/>
      <c r="E1524" s="34"/>
      <c r="F1524" s="34"/>
      <c r="G1524" s="34"/>
    </row>
    <row r="1525" spans="1:7" x14ac:dyDescent="0.3">
      <c r="A1525" s="34"/>
      <c r="B1525" s="34"/>
      <c r="C1525" s="34"/>
      <c r="D1525" s="34"/>
      <c r="E1525" s="34"/>
      <c r="F1525" s="34"/>
      <c r="G1525" s="34"/>
    </row>
    <row r="1526" spans="1:7" x14ac:dyDescent="0.3">
      <c r="A1526" s="34"/>
      <c r="B1526" s="34"/>
      <c r="C1526" s="34"/>
      <c r="D1526" s="34"/>
      <c r="E1526" s="34"/>
      <c r="F1526" s="34"/>
      <c r="G1526" s="34"/>
    </row>
    <row r="1527" spans="1:7" x14ac:dyDescent="0.3">
      <c r="A1527" s="34"/>
      <c r="B1527" s="34"/>
      <c r="C1527" s="34"/>
      <c r="D1527" s="34"/>
      <c r="E1527" s="34"/>
      <c r="F1527" s="34"/>
      <c r="G1527" s="34"/>
    </row>
    <row r="1528" spans="1:7" x14ac:dyDescent="0.3">
      <c r="A1528" s="34"/>
      <c r="B1528" s="34"/>
      <c r="C1528" s="34"/>
      <c r="D1528" s="34"/>
      <c r="E1528" s="34"/>
      <c r="F1528" s="34"/>
      <c r="G1528" s="34"/>
    </row>
    <row r="1529" spans="1:7" x14ac:dyDescent="0.3">
      <c r="A1529" s="34"/>
      <c r="B1529" s="34"/>
      <c r="C1529" s="34"/>
      <c r="D1529" s="34"/>
      <c r="E1529" s="34"/>
      <c r="F1529" s="34"/>
      <c r="G1529" s="34"/>
    </row>
    <row r="1530" spans="1:7" x14ac:dyDescent="0.3">
      <c r="A1530" s="34"/>
      <c r="B1530" s="34"/>
      <c r="C1530" s="34"/>
      <c r="D1530" s="34"/>
      <c r="E1530" s="34"/>
      <c r="F1530" s="34"/>
      <c r="G1530" s="34"/>
    </row>
    <row r="1531" spans="1:7" x14ac:dyDescent="0.3">
      <c r="A1531" s="34"/>
      <c r="B1531" s="34"/>
      <c r="C1531" s="34"/>
      <c r="D1531" s="34"/>
      <c r="E1531" s="34"/>
      <c r="F1531" s="34"/>
      <c r="G1531" s="34"/>
    </row>
    <row r="1532" spans="1:7" x14ac:dyDescent="0.3">
      <c r="A1532" s="34"/>
      <c r="B1532" s="34"/>
      <c r="C1532" s="34"/>
      <c r="D1532" s="34"/>
      <c r="E1532" s="34"/>
      <c r="F1532" s="34"/>
      <c r="G1532" s="34"/>
    </row>
    <row r="1533" spans="1:7" x14ac:dyDescent="0.3">
      <c r="A1533" s="34"/>
      <c r="B1533" s="34"/>
      <c r="C1533" s="34"/>
      <c r="D1533" s="34"/>
      <c r="E1533" s="34"/>
      <c r="F1533" s="34"/>
      <c r="G1533" s="34"/>
    </row>
    <row r="1534" spans="1:7" x14ac:dyDescent="0.3">
      <c r="A1534" s="34"/>
      <c r="B1534" s="34"/>
      <c r="C1534" s="34"/>
      <c r="D1534" s="34"/>
      <c r="E1534" s="34"/>
      <c r="F1534" s="34"/>
      <c r="G1534" s="34"/>
    </row>
    <row r="1535" spans="1:7" x14ac:dyDescent="0.3">
      <c r="A1535" s="34"/>
      <c r="B1535" s="34"/>
      <c r="C1535" s="34"/>
      <c r="D1535" s="34"/>
      <c r="E1535" s="34"/>
      <c r="F1535" s="34"/>
      <c r="G1535" s="34"/>
    </row>
    <row r="1536" spans="1:7" x14ac:dyDescent="0.3">
      <c r="A1536" s="34"/>
      <c r="B1536" s="34"/>
      <c r="C1536" s="34"/>
      <c r="D1536" s="34"/>
      <c r="E1536" s="34"/>
      <c r="F1536" s="34"/>
      <c r="G1536" s="34"/>
    </row>
    <row r="1537" spans="1:7" x14ac:dyDescent="0.3">
      <c r="A1537" s="34"/>
      <c r="B1537" s="34"/>
      <c r="C1537" s="34"/>
      <c r="D1537" s="34"/>
      <c r="E1537" s="34"/>
      <c r="F1537" s="34"/>
      <c r="G1537" s="34"/>
    </row>
    <row r="1538" spans="1:7" x14ac:dyDescent="0.3">
      <c r="A1538" s="34"/>
      <c r="B1538" s="34"/>
      <c r="C1538" s="34"/>
      <c r="D1538" s="34"/>
      <c r="E1538" s="34"/>
      <c r="F1538" s="34"/>
      <c r="G1538" s="34"/>
    </row>
    <row r="1539" spans="1:7" x14ac:dyDescent="0.3">
      <c r="A1539" s="34"/>
      <c r="B1539" s="34"/>
      <c r="C1539" s="34"/>
      <c r="D1539" s="34"/>
      <c r="E1539" s="34"/>
      <c r="F1539" s="34"/>
      <c r="G1539" s="34"/>
    </row>
    <row r="1540" spans="1:7" x14ac:dyDescent="0.3">
      <c r="A1540" s="34"/>
      <c r="B1540" s="34"/>
      <c r="C1540" s="34"/>
      <c r="D1540" s="34"/>
      <c r="E1540" s="34"/>
      <c r="F1540" s="34"/>
      <c r="G1540" s="34"/>
    </row>
    <row r="1541" spans="1:7" x14ac:dyDescent="0.3">
      <c r="A1541" s="34"/>
      <c r="B1541" s="34"/>
      <c r="C1541" s="34"/>
      <c r="D1541" s="34"/>
      <c r="E1541" s="34"/>
      <c r="F1541" s="34"/>
      <c r="G1541" s="34"/>
    </row>
    <row r="1542" spans="1:7" x14ac:dyDescent="0.3">
      <c r="A1542" s="34"/>
      <c r="B1542" s="34"/>
      <c r="C1542" s="34"/>
      <c r="D1542" s="34"/>
      <c r="E1542" s="34"/>
      <c r="F1542" s="34"/>
      <c r="G1542" s="34"/>
    </row>
    <row r="1543" spans="1:7" x14ac:dyDescent="0.3">
      <c r="A1543" s="34"/>
      <c r="B1543" s="34"/>
      <c r="C1543" s="34"/>
      <c r="D1543" s="34"/>
      <c r="E1543" s="34"/>
      <c r="F1543" s="34"/>
      <c r="G1543" s="34"/>
    </row>
    <row r="1544" spans="1:7" x14ac:dyDescent="0.3">
      <c r="A1544" s="34"/>
      <c r="B1544" s="34"/>
      <c r="C1544" s="34"/>
      <c r="D1544" s="34"/>
      <c r="E1544" s="34"/>
      <c r="F1544" s="34"/>
      <c r="G1544" s="34"/>
    </row>
    <row r="1545" spans="1:7" x14ac:dyDescent="0.3">
      <c r="A1545" s="34"/>
      <c r="B1545" s="34"/>
      <c r="C1545" s="34"/>
      <c r="D1545" s="34"/>
      <c r="E1545" s="34"/>
      <c r="F1545" s="34"/>
      <c r="G1545" s="34"/>
    </row>
    <row r="1546" spans="1:7" x14ac:dyDescent="0.3">
      <c r="A1546" s="34"/>
      <c r="B1546" s="34"/>
      <c r="C1546" s="34"/>
      <c r="D1546" s="34"/>
      <c r="E1546" s="34"/>
      <c r="F1546" s="34"/>
      <c r="G1546" s="34"/>
    </row>
    <row r="1547" spans="1:7" x14ac:dyDescent="0.3">
      <c r="A1547" s="34"/>
      <c r="B1547" s="34"/>
      <c r="C1547" s="34"/>
      <c r="D1547" s="34"/>
      <c r="E1547" s="34"/>
      <c r="F1547" s="34"/>
      <c r="G1547" s="34"/>
    </row>
    <row r="1548" spans="1:7" x14ac:dyDescent="0.3">
      <c r="A1548" s="34"/>
      <c r="B1548" s="34"/>
      <c r="C1548" s="34"/>
      <c r="D1548" s="34"/>
      <c r="E1548" s="34"/>
      <c r="F1548" s="34"/>
      <c r="G1548" s="34"/>
    </row>
    <row r="1549" spans="1:7" x14ac:dyDescent="0.3">
      <c r="A1549" s="34"/>
      <c r="B1549" s="34"/>
      <c r="C1549" s="34"/>
      <c r="D1549" s="34"/>
      <c r="E1549" s="34"/>
      <c r="F1549" s="34"/>
      <c r="G1549" s="34"/>
    </row>
    <row r="1550" spans="1:7" x14ac:dyDescent="0.3">
      <c r="A1550" s="34"/>
      <c r="B1550" s="34"/>
      <c r="C1550" s="34"/>
      <c r="D1550" s="34"/>
      <c r="E1550" s="34"/>
      <c r="F1550" s="34"/>
      <c r="G1550" s="34"/>
    </row>
    <row r="1551" spans="1:7" x14ac:dyDescent="0.3">
      <c r="A1551" s="34"/>
      <c r="B1551" s="34"/>
      <c r="C1551" s="34"/>
      <c r="D1551" s="34"/>
      <c r="E1551" s="34"/>
      <c r="F1551" s="34"/>
      <c r="G1551" s="34"/>
    </row>
    <row r="1552" spans="1:7" x14ac:dyDescent="0.3">
      <c r="A1552" s="34"/>
      <c r="B1552" s="34"/>
      <c r="C1552" s="34"/>
      <c r="D1552" s="34"/>
      <c r="E1552" s="34"/>
      <c r="F1552" s="34"/>
      <c r="G1552" s="34"/>
    </row>
    <row r="1553" spans="1:7" x14ac:dyDescent="0.3">
      <c r="A1553" s="34"/>
      <c r="B1553" s="34"/>
      <c r="C1553" s="34"/>
      <c r="D1553" s="34"/>
      <c r="E1553" s="34"/>
      <c r="F1553" s="34"/>
      <c r="G1553" s="34"/>
    </row>
    <row r="1554" spans="1:7" x14ac:dyDescent="0.3">
      <c r="A1554" s="34"/>
      <c r="B1554" s="34"/>
      <c r="C1554" s="34"/>
      <c r="D1554" s="34"/>
      <c r="E1554" s="34"/>
      <c r="F1554" s="34"/>
      <c r="G1554" s="34"/>
    </row>
    <row r="1555" spans="1:7" x14ac:dyDescent="0.3">
      <c r="A1555" s="34"/>
      <c r="B1555" s="34"/>
      <c r="C1555" s="34"/>
      <c r="D1555" s="34"/>
      <c r="E1555" s="34"/>
      <c r="F1555" s="34"/>
      <c r="G1555" s="34"/>
    </row>
    <row r="1556" spans="1:7" x14ac:dyDescent="0.3">
      <c r="A1556" s="34"/>
      <c r="B1556" s="34"/>
      <c r="C1556" s="34"/>
      <c r="D1556" s="34"/>
      <c r="E1556" s="34"/>
      <c r="F1556" s="34"/>
      <c r="G1556" s="34"/>
    </row>
    <row r="1557" spans="1:7" x14ac:dyDescent="0.3">
      <c r="A1557" s="34"/>
      <c r="B1557" s="34"/>
      <c r="C1557" s="34"/>
      <c r="D1557" s="34"/>
      <c r="E1557" s="34"/>
      <c r="F1557" s="34"/>
      <c r="G1557" s="34"/>
    </row>
    <row r="1558" spans="1:7" x14ac:dyDescent="0.3">
      <c r="A1558" s="34"/>
      <c r="B1558" s="34"/>
      <c r="C1558" s="34"/>
      <c r="D1558" s="34"/>
      <c r="E1558" s="34"/>
      <c r="F1558" s="34"/>
      <c r="G1558" s="34"/>
    </row>
    <row r="1559" spans="1:7" x14ac:dyDescent="0.3">
      <c r="A1559" s="34"/>
      <c r="B1559" s="34"/>
      <c r="C1559" s="34"/>
      <c r="D1559" s="34"/>
      <c r="E1559" s="34"/>
      <c r="F1559" s="34"/>
      <c r="G1559" s="34"/>
    </row>
    <row r="1560" spans="1:7" x14ac:dyDescent="0.3">
      <c r="A1560" s="34"/>
      <c r="B1560" s="34"/>
      <c r="C1560" s="34"/>
      <c r="D1560" s="34"/>
      <c r="E1560" s="34"/>
      <c r="F1560" s="34"/>
      <c r="G1560" s="34"/>
    </row>
    <row r="1561" spans="1:7" x14ac:dyDescent="0.3">
      <c r="A1561" s="34"/>
      <c r="B1561" s="34"/>
      <c r="C1561" s="34"/>
      <c r="D1561" s="34"/>
      <c r="E1561" s="34"/>
      <c r="F1561" s="34"/>
      <c r="G1561" s="34"/>
    </row>
    <row r="1562" spans="1:7" x14ac:dyDescent="0.3">
      <c r="A1562" s="34"/>
      <c r="B1562" s="34"/>
      <c r="C1562" s="34"/>
      <c r="D1562" s="34"/>
      <c r="E1562" s="34"/>
      <c r="F1562" s="34"/>
      <c r="G1562" s="34"/>
    </row>
    <row r="1563" spans="1:7" x14ac:dyDescent="0.3">
      <c r="A1563" s="34"/>
      <c r="B1563" s="34"/>
      <c r="C1563" s="34"/>
      <c r="D1563" s="34"/>
      <c r="E1563" s="34"/>
      <c r="F1563" s="34"/>
      <c r="G1563" s="34"/>
    </row>
    <row r="1564" spans="1:7" x14ac:dyDescent="0.3">
      <c r="A1564" s="34"/>
      <c r="B1564" s="34"/>
      <c r="C1564" s="34"/>
      <c r="D1564" s="34"/>
      <c r="E1564" s="34"/>
      <c r="F1564" s="34"/>
      <c r="G1564" s="34"/>
    </row>
    <row r="1565" spans="1:7" x14ac:dyDescent="0.3">
      <c r="A1565" s="34"/>
      <c r="B1565" s="34"/>
      <c r="C1565" s="34"/>
      <c r="D1565" s="34"/>
      <c r="E1565" s="34"/>
      <c r="F1565" s="34"/>
      <c r="G1565" s="34"/>
    </row>
    <row r="1566" spans="1:7" x14ac:dyDescent="0.3">
      <c r="A1566" s="34"/>
      <c r="B1566" s="34"/>
      <c r="C1566" s="34"/>
      <c r="D1566" s="34"/>
      <c r="E1566" s="34"/>
      <c r="F1566" s="34"/>
      <c r="G1566" s="34"/>
    </row>
    <row r="1567" spans="1:7" x14ac:dyDescent="0.3">
      <c r="A1567" s="34"/>
      <c r="B1567" s="34"/>
      <c r="C1567" s="34"/>
      <c r="D1567" s="34"/>
      <c r="E1567" s="34"/>
      <c r="F1567" s="34"/>
      <c r="G1567" s="34"/>
    </row>
    <row r="1568" spans="1:7" x14ac:dyDescent="0.3">
      <c r="A1568" s="34"/>
      <c r="B1568" s="34"/>
      <c r="C1568" s="34"/>
      <c r="D1568" s="34"/>
      <c r="E1568" s="34"/>
      <c r="F1568" s="34"/>
      <c r="G1568" s="34"/>
    </row>
    <row r="1569" spans="1:7" x14ac:dyDescent="0.3">
      <c r="A1569" s="34"/>
      <c r="B1569" s="34"/>
      <c r="C1569" s="34"/>
      <c r="D1569" s="34"/>
      <c r="E1569" s="34"/>
      <c r="F1569" s="34"/>
      <c r="G1569" s="34"/>
    </row>
    <row r="1570" spans="1:7" x14ac:dyDescent="0.3">
      <c r="A1570" s="34"/>
      <c r="B1570" s="34"/>
      <c r="C1570" s="34"/>
      <c r="D1570" s="34"/>
      <c r="E1570" s="34"/>
      <c r="F1570" s="34"/>
      <c r="G1570" s="34"/>
    </row>
    <row r="1571" spans="1:7" x14ac:dyDescent="0.3">
      <c r="A1571" s="34"/>
      <c r="B1571" s="34"/>
      <c r="C1571" s="34"/>
      <c r="D1571" s="34"/>
      <c r="E1571" s="34"/>
      <c r="F1571" s="34"/>
      <c r="G1571" s="34"/>
    </row>
    <row r="1572" spans="1:7" x14ac:dyDescent="0.3">
      <c r="A1572" s="34"/>
      <c r="B1572" s="34"/>
      <c r="C1572" s="34"/>
      <c r="D1572" s="34"/>
      <c r="E1572" s="34"/>
      <c r="F1572" s="34"/>
      <c r="G1572" s="34"/>
    </row>
    <row r="1573" spans="1:7" x14ac:dyDescent="0.3">
      <c r="A1573" s="34"/>
      <c r="B1573" s="34"/>
      <c r="C1573" s="34"/>
      <c r="D1573" s="34"/>
      <c r="E1573" s="34"/>
      <c r="F1573" s="34"/>
      <c r="G1573" s="34"/>
    </row>
    <row r="1574" spans="1:7" x14ac:dyDescent="0.3">
      <c r="A1574" s="34"/>
      <c r="B1574" s="34"/>
      <c r="C1574" s="34"/>
      <c r="D1574" s="34"/>
      <c r="E1574" s="34"/>
      <c r="F1574" s="34"/>
      <c r="G1574" s="34"/>
    </row>
    <row r="1575" spans="1:7" x14ac:dyDescent="0.3">
      <c r="A1575" s="34"/>
      <c r="B1575" s="34"/>
      <c r="C1575" s="34"/>
      <c r="D1575" s="34"/>
      <c r="E1575" s="34"/>
      <c r="F1575" s="34"/>
      <c r="G1575" s="34"/>
    </row>
    <row r="1576" spans="1:7" x14ac:dyDescent="0.3">
      <c r="A1576" s="34"/>
      <c r="B1576" s="34"/>
      <c r="C1576" s="34"/>
      <c r="D1576" s="34"/>
      <c r="E1576" s="34"/>
      <c r="F1576" s="34"/>
      <c r="G1576" s="34"/>
    </row>
    <row r="1577" spans="1:7" x14ac:dyDescent="0.3">
      <c r="A1577" s="34"/>
      <c r="B1577" s="34"/>
      <c r="C1577" s="34"/>
      <c r="D1577" s="34"/>
      <c r="E1577" s="34"/>
      <c r="F1577" s="34"/>
      <c r="G1577" s="34"/>
    </row>
    <row r="1578" spans="1:7" x14ac:dyDescent="0.3">
      <c r="A1578" s="34"/>
      <c r="B1578" s="34"/>
      <c r="C1578" s="34"/>
      <c r="D1578" s="34"/>
      <c r="E1578" s="34"/>
      <c r="F1578" s="34"/>
      <c r="G1578" s="34"/>
    </row>
    <row r="1579" spans="1:7" x14ac:dyDescent="0.3">
      <c r="A1579" s="34"/>
      <c r="B1579" s="34"/>
      <c r="C1579" s="34"/>
      <c r="D1579" s="34"/>
      <c r="E1579" s="34"/>
      <c r="F1579" s="34"/>
      <c r="G1579" s="34"/>
    </row>
    <row r="1580" spans="1:7" x14ac:dyDescent="0.3">
      <c r="A1580" s="34"/>
      <c r="B1580" s="34"/>
      <c r="C1580" s="34"/>
      <c r="D1580" s="34"/>
      <c r="E1580" s="34"/>
      <c r="F1580" s="34"/>
      <c r="G1580" s="34"/>
    </row>
    <row r="1581" spans="1:7" x14ac:dyDescent="0.3">
      <c r="A1581" s="34"/>
      <c r="B1581" s="34"/>
      <c r="C1581" s="34"/>
      <c r="D1581" s="34"/>
      <c r="E1581" s="34"/>
      <c r="F1581" s="34"/>
      <c r="G1581" s="34"/>
    </row>
    <row r="1582" spans="1:7" x14ac:dyDescent="0.3">
      <c r="A1582" s="34"/>
      <c r="B1582" s="34"/>
      <c r="C1582" s="34"/>
      <c r="D1582" s="34"/>
      <c r="E1582" s="34"/>
      <c r="F1582" s="34"/>
      <c r="G1582" s="34"/>
    </row>
    <row r="1583" spans="1:7" x14ac:dyDescent="0.3">
      <c r="A1583" s="34"/>
      <c r="B1583" s="34"/>
      <c r="C1583" s="34"/>
      <c r="D1583" s="34"/>
      <c r="E1583" s="34"/>
      <c r="F1583" s="34"/>
      <c r="G1583" s="34"/>
    </row>
    <row r="1584" spans="1:7" x14ac:dyDescent="0.3">
      <c r="A1584" s="34"/>
      <c r="B1584" s="34"/>
      <c r="C1584" s="34"/>
      <c r="D1584" s="34"/>
      <c r="E1584" s="34"/>
      <c r="F1584" s="34"/>
      <c r="G1584" s="34"/>
    </row>
    <row r="1585" spans="1:7" x14ac:dyDescent="0.3">
      <c r="A1585" s="34"/>
      <c r="B1585" s="34"/>
      <c r="C1585" s="34"/>
      <c r="D1585" s="34"/>
      <c r="E1585" s="34"/>
      <c r="F1585" s="34"/>
      <c r="G1585" s="34"/>
    </row>
    <row r="1586" spans="1:7" x14ac:dyDescent="0.3">
      <c r="A1586" s="34"/>
      <c r="B1586" s="34"/>
      <c r="C1586" s="34"/>
      <c r="D1586" s="34"/>
      <c r="E1586" s="34"/>
      <c r="F1586" s="34"/>
      <c r="G1586" s="34"/>
    </row>
    <row r="1587" spans="1:7" x14ac:dyDescent="0.3">
      <c r="A1587" s="34"/>
      <c r="B1587" s="34"/>
      <c r="C1587" s="34"/>
      <c r="D1587" s="34"/>
      <c r="E1587" s="34"/>
      <c r="F1587" s="34"/>
      <c r="G1587" s="34"/>
    </row>
    <row r="1588" spans="1:7" x14ac:dyDescent="0.3">
      <c r="A1588" s="34"/>
      <c r="B1588" s="34"/>
      <c r="C1588" s="34"/>
      <c r="D1588" s="34"/>
      <c r="E1588" s="34"/>
      <c r="F1588" s="34"/>
      <c r="G1588" s="34"/>
    </row>
    <row r="1589" spans="1:7" x14ac:dyDescent="0.3">
      <c r="A1589" s="34"/>
      <c r="B1589" s="34"/>
      <c r="C1589" s="34"/>
      <c r="D1589" s="34"/>
      <c r="E1589" s="34"/>
      <c r="F1589" s="34"/>
      <c r="G1589" s="34"/>
    </row>
    <row r="1590" spans="1:7" x14ac:dyDescent="0.3">
      <c r="A1590" s="34"/>
      <c r="B1590" s="34"/>
      <c r="C1590" s="34"/>
      <c r="D1590" s="34"/>
      <c r="E1590" s="34"/>
      <c r="F1590" s="34"/>
      <c r="G1590" s="34"/>
    </row>
    <row r="1591" spans="1:7" x14ac:dyDescent="0.3">
      <c r="A1591" s="34"/>
      <c r="B1591" s="34"/>
      <c r="C1591" s="34"/>
      <c r="D1591" s="34"/>
      <c r="E1591" s="34"/>
      <c r="F1591" s="34"/>
      <c r="G1591" s="34"/>
    </row>
    <row r="1592" spans="1:7" x14ac:dyDescent="0.3">
      <c r="A1592" s="34"/>
      <c r="B1592" s="34"/>
      <c r="C1592" s="34"/>
      <c r="D1592" s="34"/>
      <c r="E1592" s="34"/>
      <c r="F1592" s="34"/>
      <c r="G1592" s="34"/>
    </row>
    <row r="1593" spans="1:7" x14ac:dyDescent="0.3">
      <c r="A1593" s="34"/>
      <c r="B1593" s="34"/>
      <c r="C1593" s="34"/>
      <c r="D1593" s="34"/>
      <c r="E1593" s="34"/>
      <c r="F1593" s="34"/>
      <c r="G1593" s="34"/>
    </row>
    <row r="1594" spans="1:7" x14ac:dyDescent="0.3">
      <c r="A1594" s="34"/>
      <c r="B1594" s="34"/>
      <c r="C1594" s="34"/>
      <c r="D1594" s="34"/>
      <c r="E1594" s="34"/>
      <c r="F1594" s="34"/>
      <c r="G1594" s="34"/>
    </row>
    <row r="1595" spans="1:7" x14ac:dyDescent="0.3">
      <c r="A1595" s="34"/>
      <c r="B1595" s="34"/>
      <c r="C1595" s="34"/>
      <c r="D1595" s="34"/>
      <c r="E1595" s="34"/>
      <c r="F1595" s="34"/>
      <c r="G1595" s="34"/>
    </row>
    <row r="1596" spans="1:7" x14ac:dyDescent="0.3">
      <c r="A1596" s="34"/>
      <c r="B1596" s="34"/>
      <c r="C1596" s="34"/>
      <c r="D1596" s="34"/>
      <c r="E1596" s="34"/>
      <c r="F1596" s="34"/>
      <c r="G1596" s="34"/>
    </row>
    <row r="1597" spans="1:7" x14ac:dyDescent="0.3">
      <c r="A1597" s="34"/>
      <c r="B1597" s="34"/>
      <c r="C1597" s="34"/>
      <c r="D1597" s="34"/>
      <c r="E1597" s="34"/>
      <c r="F1597" s="34"/>
      <c r="G1597" s="34"/>
    </row>
    <row r="1598" spans="1:7" x14ac:dyDescent="0.3">
      <c r="A1598" s="34"/>
      <c r="B1598" s="34"/>
      <c r="C1598" s="34"/>
      <c r="D1598" s="34"/>
      <c r="E1598" s="34"/>
      <c r="F1598" s="34"/>
      <c r="G1598" s="34"/>
    </row>
    <row r="1599" spans="1:7" x14ac:dyDescent="0.3">
      <c r="A1599" s="34"/>
      <c r="B1599" s="34"/>
      <c r="C1599" s="34"/>
      <c r="D1599" s="34"/>
      <c r="E1599" s="34"/>
      <c r="F1599" s="34"/>
      <c r="G1599" s="34"/>
    </row>
    <row r="1600" spans="1:7" x14ac:dyDescent="0.3">
      <c r="A1600" s="34"/>
      <c r="B1600" s="34"/>
      <c r="C1600" s="34"/>
      <c r="D1600" s="34"/>
      <c r="E1600" s="34"/>
      <c r="F1600" s="34"/>
      <c r="G1600" s="34"/>
    </row>
    <row r="1601" spans="1:7" x14ac:dyDescent="0.3">
      <c r="A1601" s="34"/>
      <c r="B1601" s="34"/>
      <c r="C1601" s="34"/>
      <c r="D1601" s="34"/>
      <c r="E1601" s="34"/>
      <c r="F1601" s="34"/>
      <c r="G1601" s="34"/>
    </row>
    <row r="1602" spans="1:7" x14ac:dyDescent="0.3">
      <c r="A1602" s="34"/>
      <c r="B1602" s="34"/>
      <c r="C1602" s="34"/>
      <c r="D1602" s="34"/>
      <c r="E1602" s="34"/>
      <c r="F1602" s="34"/>
      <c r="G1602" s="34"/>
    </row>
    <row r="1603" spans="1:7" x14ac:dyDescent="0.3">
      <c r="A1603" s="34"/>
      <c r="B1603" s="34"/>
      <c r="C1603" s="34"/>
      <c r="D1603" s="34"/>
      <c r="E1603" s="34"/>
      <c r="F1603" s="34"/>
      <c r="G1603" s="34"/>
    </row>
    <row r="1604" spans="1:7" x14ac:dyDescent="0.3">
      <c r="A1604" s="34"/>
      <c r="B1604" s="34"/>
      <c r="C1604" s="34"/>
      <c r="D1604" s="34"/>
      <c r="E1604" s="34"/>
      <c r="F1604" s="34"/>
      <c r="G1604" s="34"/>
    </row>
    <row r="1605" spans="1:7" x14ac:dyDescent="0.3">
      <c r="A1605" s="34"/>
      <c r="B1605" s="34"/>
      <c r="C1605" s="34"/>
      <c r="D1605" s="34"/>
      <c r="E1605" s="34"/>
      <c r="F1605" s="34"/>
      <c r="G1605" s="34"/>
    </row>
    <row r="1606" spans="1:7" x14ac:dyDescent="0.3">
      <c r="A1606" s="34"/>
      <c r="B1606" s="34"/>
      <c r="C1606" s="34"/>
      <c r="D1606" s="34"/>
      <c r="E1606" s="34"/>
      <c r="F1606" s="34"/>
      <c r="G1606" s="34"/>
    </row>
    <row r="1607" spans="1:7" x14ac:dyDescent="0.3">
      <c r="A1607" s="34"/>
      <c r="B1607" s="34"/>
      <c r="C1607" s="34"/>
      <c r="D1607" s="34"/>
      <c r="E1607" s="34"/>
      <c r="F1607" s="34"/>
      <c r="G1607" s="34"/>
    </row>
    <row r="1608" spans="1:7" x14ac:dyDescent="0.3">
      <c r="A1608" s="34"/>
      <c r="B1608" s="34"/>
      <c r="C1608" s="34"/>
      <c r="D1608" s="34"/>
      <c r="E1608" s="34"/>
      <c r="F1608" s="34"/>
      <c r="G1608" s="34"/>
    </row>
    <row r="1609" spans="1:7" x14ac:dyDescent="0.3">
      <c r="A1609" s="34"/>
      <c r="B1609" s="34"/>
      <c r="C1609" s="34"/>
      <c r="D1609" s="34"/>
      <c r="E1609" s="34"/>
      <c r="F1609" s="34"/>
      <c r="G1609" s="34"/>
    </row>
    <row r="1610" spans="1:7" x14ac:dyDescent="0.3">
      <c r="A1610" s="34"/>
      <c r="B1610" s="34"/>
      <c r="C1610" s="34"/>
      <c r="D1610" s="34"/>
      <c r="E1610" s="34"/>
      <c r="F1610" s="34"/>
      <c r="G1610" s="34"/>
    </row>
    <row r="1611" spans="1:7" x14ac:dyDescent="0.3">
      <c r="A1611" s="34"/>
      <c r="B1611" s="34"/>
      <c r="C1611" s="34"/>
      <c r="D1611" s="34"/>
      <c r="E1611" s="34"/>
      <c r="F1611" s="34"/>
      <c r="G1611" s="34"/>
    </row>
    <row r="1612" spans="1:7" x14ac:dyDescent="0.3">
      <c r="A1612" s="34"/>
      <c r="B1612" s="34"/>
      <c r="C1612" s="34"/>
      <c r="D1612" s="34"/>
      <c r="E1612" s="34"/>
      <c r="F1612" s="34"/>
      <c r="G1612" s="34"/>
    </row>
    <row r="1613" spans="1:7" x14ac:dyDescent="0.3">
      <c r="A1613" s="34"/>
      <c r="B1613" s="34"/>
      <c r="C1613" s="34"/>
      <c r="D1613" s="34"/>
      <c r="E1613" s="34"/>
      <c r="F1613" s="34"/>
      <c r="G1613" s="34"/>
    </row>
    <row r="1614" spans="1:7" x14ac:dyDescent="0.3">
      <c r="A1614" s="34"/>
      <c r="B1614" s="34"/>
      <c r="C1614" s="34"/>
      <c r="D1614" s="34"/>
      <c r="E1614" s="34"/>
      <c r="F1614" s="34"/>
      <c r="G1614" s="34"/>
    </row>
    <row r="1615" spans="1:7" x14ac:dyDescent="0.3">
      <c r="A1615" s="34"/>
      <c r="B1615" s="34"/>
      <c r="C1615" s="34"/>
      <c r="D1615" s="34"/>
      <c r="E1615" s="34"/>
      <c r="F1615" s="34"/>
      <c r="G1615" s="34"/>
    </row>
    <row r="1616" spans="1:7" x14ac:dyDescent="0.3">
      <c r="A1616" s="34"/>
      <c r="B1616" s="34"/>
      <c r="C1616" s="34"/>
      <c r="D1616" s="34"/>
      <c r="E1616" s="34"/>
      <c r="F1616" s="34"/>
      <c r="G1616" s="34"/>
    </row>
    <row r="1617" spans="1:7" x14ac:dyDescent="0.3">
      <c r="A1617" s="34"/>
      <c r="B1617" s="34"/>
      <c r="C1617" s="34"/>
      <c r="D1617" s="34"/>
      <c r="E1617" s="34"/>
      <c r="F1617" s="34"/>
      <c r="G1617" s="34"/>
    </row>
    <row r="1618" spans="1:7" x14ac:dyDescent="0.3">
      <c r="A1618" s="34"/>
      <c r="B1618" s="34"/>
      <c r="C1618" s="34"/>
      <c r="D1618" s="34"/>
      <c r="E1618" s="34"/>
      <c r="F1618" s="34"/>
      <c r="G1618" s="34"/>
    </row>
    <row r="1619" spans="1:7" x14ac:dyDescent="0.3">
      <c r="A1619" s="34"/>
      <c r="B1619" s="34"/>
      <c r="C1619" s="34"/>
      <c r="D1619" s="34"/>
      <c r="E1619" s="34"/>
      <c r="F1619" s="34"/>
      <c r="G1619" s="34"/>
    </row>
    <row r="1620" spans="1:7" x14ac:dyDescent="0.3">
      <c r="A1620" s="34"/>
      <c r="B1620" s="34"/>
      <c r="C1620" s="34"/>
      <c r="D1620" s="34"/>
      <c r="E1620" s="34"/>
      <c r="F1620" s="34"/>
      <c r="G1620" s="34"/>
    </row>
    <row r="1621" spans="1:7" x14ac:dyDescent="0.3">
      <c r="A1621" s="34"/>
      <c r="B1621" s="34"/>
      <c r="C1621" s="34"/>
      <c r="D1621" s="34"/>
      <c r="E1621" s="34"/>
      <c r="F1621" s="34"/>
      <c r="G1621" s="34"/>
    </row>
    <row r="1622" spans="1:7" x14ac:dyDescent="0.3">
      <c r="A1622" s="34"/>
      <c r="B1622" s="34"/>
      <c r="C1622" s="34"/>
      <c r="D1622" s="34"/>
      <c r="E1622" s="34"/>
      <c r="F1622" s="34"/>
      <c r="G1622" s="34"/>
    </row>
    <row r="1623" spans="1:7" x14ac:dyDescent="0.3">
      <c r="A1623" s="34"/>
      <c r="B1623" s="34"/>
      <c r="C1623" s="34"/>
      <c r="D1623" s="34"/>
      <c r="E1623" s="34"/>
      <c r="F1623" s="34"/>
      <c r="G1623" s="34"/>
    </row>
    <row r="1624" spans="1:7" x14ac:dyDescent="0.3">
      <c r="A1624" s="34"/>
      <c r="B1624" s="34"/>
      <c r="C1624" s="34"/>
      <c r="D1624" s="34"/>
      <c r="E1624" s="34"/>
      <c r="F1624" s="34"/>
      <c r="G1624" s="34"/>
    </row>
    <row r="1625" spans="1:7" x14ac:dyDescent="0.3">
      <c r="A1625" s="34"/>
      <c r="B1625" s="34"/>
      <c r="C1625" s="34"/>
      <c r="D1625" s="34"/>
      <c r="E1625" s="34"/>
      <c r="F1625" s="34"/>
      <c r="G1625" s="34"/>
    </row>
    <row r="1626" spans="1:7" x14ac:dyDescent="0.3">
      <c r="A1626" s="34"/>
      <c r="B1626" s="34"/>
      <c r="C1626" s="34"/>
      <c r="D1626" s="34"/>
      <c r="E1626" s="34"/>
      <c r="F1626" s="34"/>
      <c r="G1626" s="34"/>
    </row>
    <row r="1627" spans="1:7" x14ac:dyDescent="0.3">
      <c r="A1627" s="34"/>
      <c r="B1627" s="34"/>
      <c r="C1627" s="34"/>
      <c r="D1627" s="34"/>
      <c r="E1627" s="34"/>
      <c r="F1627" s="34"/>
      <c r="G1627" s="34"/>
    </row>
    <row r="1628" spans="1:7" x14ac:dyDescent="0.3">
      <c r="A1628" s="34"/>
      <c r="B1628" s="34"/>
      <c r="C1628" s="34"/>
      <c r="D1628" s="34"/>
      <c r="E1628" s="34"/>
      <c r="F1628" s="34"/>
      <c r="G1628" s="34"/>
    </row>
    <row r="1629" spans="1:7" x14ac:dyDescent="0.3">
      <c r="A1629" s="34"/>
      <c r="B1629" s="34"/>
      <c r="C1629" s="34"/>
      <c r="D1629" s="34"/>
      <c r="E1629" s="34"/>
      <c r="F1629" s="34"/>
      <c r="G1629" s="34"/>
    </row>
    <row r="1630" spans="1:7" x14ac:dyDescent="0.3">
      <c r="A1630" s="34"/>
      <c r="B1630" s="34"/>
      <c r="C1630" s="34"/>
      <c r="D1630" s="34"/>
      <c r="E1630" s="34"/>
      <c r="F1630" s="34"/>
      <c r="G1630" s="34"/>
    </row>
    <row r="1631" spans="1:7" x14ac:dyDescent="0.3">
      <c r="A1631" s="34"/>
      <c r="B1631" s="34"/>
      <c r="C1631" s="34"/>
      <c r="D1631" s="34"/>
      <c r="E1631" s="34"/>
      <c r="F1631" s="34"/>
      <c r="G1631" s="34"/>
    </row>
    <row r="1632" spans="1:7" x14ac:dyDescent="0.3">
      <c r="A1632" s="34"/>
      <c r="B1632" s="34"/>
      <c r="C1632" s="34"/>
      <c r="D1632" s="34"/>
      <c r="E1632" s="34"/>
      <c r="F1632" s="34"/>
      <c r="G1632" s="34"/>
    </row>
    <row r="1633" spans="1:7" x14ac:dyDescent="0.3">
      <c r="A1633" s="34"/>
      <c r="B1633" s="34"/>
      <c r="C1633" s="34"/>
      <c r="D1633" s="34"/>
      <c r="E1633" s="34"/>
      <c r="F1633" s="34"/>
      <c r="G1633" s="34"/>
    </row>
    <row r="1634" spans="1:7" x14ac:dyDescent="0.3">
      <c r="A1634" s="34"/>
      <c r="B1634" s="34"/>
      <c r="C1634" s="34"/>
      <c r="D1634" s="34"/>
      <c r="E1634" s="34"/>
      <c r="F1634" s="34"/>
      <c r="G1634" s="34"/>
    </row>
    <row r="1635" spans="1:7" x14ac:dyDescent="0.3">
      <c r="A1635" s="34"/>
      <c r="B1635" s="34"/>
      <c r="C1635" s="34"/>
      <c r="D1635" s="34"/>
      <c r="E1635" s="34"/>
      <c r="F1635" s="34"/>
      <c r="G1635" s="34"/>
    </row>
    <row r="1636" spans="1:7" x14ac:dyDescent="0.3">
      <c r="A1636" s="34"/>
      <c r="B1636" s="34"/>
      <c r="C1636" s="34"/>
      <c r="D1636" s="34"/>
      <c r="E1636" s="34"/>
      <c r="F1636" s="34"/>
      <c r="G1636" s="34"/>
    </row>
    <row r="1637" spans="1:7" x14ac:dyDescent="0.3">
      <c r="A1637" s="34"/>
      <c r="B1637" s="34"/>
      <c r="C1637" s="34"/>
      <c r="D1637" s="34"/>
      <c r="E1637" s="34"/>
      <c r="F1637" s="34"/>
      <c r="G1637" s="34"/>
    </row>
    <row r="1638" spans="1:7" x14ac:dyDescent="0.3">
      <c r="A1638" s="34"/>
      <c r="B1638" s="34"/>
      <c r="C1638" s="34"/>
      <c r="D1638" s="34"/>
      <c r="E1638" s="34"/>
      <c r="F1638" s="34"/>
      <c r="G1638" s="34"/>
    </row>
    <row r="1639" spans="1:7" x14ac:dyDescent="0.3">
      <c r="A1639" s="34"/>
      <c r="B1639" s="34"/>
      <c r="C1639" s="34"/>
      <c r="D1639" s="34"/>
      <c r="E1639" s="34"/>
      <c r="F1639" s="34"/>
      <c r="G1639" s="34"/>
    </row>
    <row r="1640" spans="1:7" x14ac:dyDescent="0.3">
      <c r="A1640" s="34"/>
      <c r="B1640" s="34"/>
      <c r="C1640" s="34"/>
      <c r="D1640" s="34"/>
      <c r="E1640" s="34"/>
      <c r="F1640" s="34"/>
      <c r="G1640" s="34"/>
    </row>
    <row r="1641" spans="1:7" x14ac:dyDescent="0.3">
      <c r="A1641" s="34"/>
      <c r="B1641" s="34"/>
      <c r="C1641" s="34"/>
      <c r="D1641" s="34"/>
      <c r="E1641" s="34"/>
      <c r="F1641" s="34"/>
      <c r="G1641" s="34"/>
    </row>
    <row r="1642" spans="1:7" x14ac:dyDescent="0.3">
      <c r="A1642" s="34"/>
      <c r="B1642" s="34"/>
      <c r="C1642" s="34"/>
      <c r="D1642" s="34"/>
      <c r="E1642" s="34"/>
      <c r="F1642" s="34"/>
      <c r="G1642" s="34"/>
    </row>
    <row r="1643" spans="1:7" x14ac:dyDescent="0.3">
      <c r="A1643" s="34"/>
      <c r="B1643" s="34"/>
      <c r="C1643" s="34"/>
      <c r="D1643" s="34"/>
      <c r="E1643" s="34"/>
      <c r="F1643" s="34"/>
      <c r="G1643" s="34"/>
    </row>
    <row r="1644" spans="1:7" x14ac:dyDescent="0.3">
      <c r="A1644" s="34"/>
      <c r="B1644" s="34"/>
      <c r="C1644" s="34"/>
      <c r="D1644" s="34"/>
      <c r="E1644" s="34"/>
      <c r="F1644" s="34"/>
      <c r="G1644" s="34"/>
    </row>
    <row r="1645" spans="1:7" x14ac:dyDescent="0.3">
      <c r="A1645" s="34"/>
      <c r="B1645" s="34"/>
      <c r="C1645" s="34"/>
      <c r="D1645" s="34"/>
      <c r="E1645" s="34"/>
      <c r="F1645" s="34"/>
      <c r="G1645" s="34"/>
    </row>
    <row r="1646" spans="1:7" x14ac:dyDescent="0.3">
      <c r="A1646" s="34"/>
      <c r="B1646" s="34"/>
      <c r="C1646" s="34"/>
      <c r="D1646" s="34"/>
      <c r="E1646" s="34"/>
      <c r="F1646" s="34"/>
      <c r="G1646" s="34"/>
    </row>
    <row r="1647" spans="1:7" x14ac:dyDescent="0.3">
      <c r="A1647" s="34"/>
      <c r="B1647" s="34"/>
      <c r="C1647" s="34"/>
      <c r="D1647" s="34"/>
      <c r="E1647" s="34"/>
      <c r="F1647" s="34"/>
      <c r="G1647" s="34"/>
    </row>
    <row r="1648" spans="1:7" x14ac:dyDescent="0.3">
      <c r="A1648" s="34"/>
      <c r="B1648" s="34"/>
      <c r="C1648" s="34"/>
      <c r="D1648" s="34"/>
      <c r="E1648" s="34"/>
      <c r="F1648" s="34"/>
      <c r="G1648" s="34"/>
    </row>
    <row r="1649" spans="1:7" x14ac:dyDescent="0.3">
      <c r="A1649" s="34"/>
      <c r="B1649" s="34"/>
      <c r="C1649" s="34"/>
      <c r="D1649" s="34"/>
      <c r="E1649" s="34"/>
      <c r="F1649" s="34"/>
      <c r="G1649" s="34"/>
    </row>
    <row r="1650" spans="1:7" x14ac:dyDescent="0.3">
      <c r="A1650" s="34"/>
      <c r="B1650" s="34"/>
      <c r="C1650" s="34"/>
      <c r="D1650" s="34"/>
      <c r="E1650" s="34"/>
      <c r="F1650" s="34"/>
      <c r="G1650" s="34"/>
    </row>
    <row r="1651" spans="1:7" x14ac:dyDescent="0.3">
      <c r="A1651" s="34"/>
      <c r="B1651" s="34"/>
      <c r="C1651" s="34"/>
      <c r="D1651" s="34"/>
      <c r="E1651" s="34"/>
      <c r="F1651" s="34"/>
      <c r="G1651" s="34"/>
    </row>
    <row r="1652" spans="1:7" x14ac:dyDescent="0.3">
      <c r="A1652" s="34"/>
      <c r="B1652" s="34"/>
      <c r="C1652" s="34"/>
      <c r="D1652" s="34"/>
      <c r="E1652" s="34"/>
      <c r="F1652" s="34"/>
      <c r="G1652" s="34"/>
    </row>
    <row r="1653" spans="1:7" x14ac:dyDescent="0.3">
      <c r="A1653" s="34"/>
      <c r="B1653" s="34"/>
      <c r="C1653" s="34"/>
      <c r="D1653" s="34"/>
      <c r="E1653" s="34"/>
      <c r="F1653" s="34"/>
      <c r="G1653" s="34"/>
    </row>
    <row r="1654" spans="1:7" x14ac:dyDescent="0.3">
      <c r="A1654" s="34"/>
      <c r="B1654" s="34"/>
      <c r="C1654" s="34"/>
      <c r="D1654" s="34"/>
      <c r="E1654" s="34"/>
      <c r="F1654" s="34"/>
      <c r="G1654" s="34"/>
    </row>
    <row r="1655" spans="1:7" x14ac:dyDescent="0.3">
      <c r="A1655" s="34"/>
      <c r="B1655" s="34"/>
      <c r="C1655" s="34"/>
      <c r="D1655" s="34"/>
      <c r="E1655" s="34"/>
      <c r="F1655" s="34"/>
      <c r="G1655" s="34"/>
    </row>
    <row r="1656" spans="1:7" x14ac:dyDescent="0.3">
      <c r="A1656" s="34"/>
      <c r="B1656" s="34"/>
      <c r="C1656" s="34"/>
      <c r="D1656" s="34"/>
      <c r="E1656" s="34"/>
      <c r="F1656" s="34"/>
      <c r="G1656" s="34"/>
    </row>
    <row r="1657" spans="1:7" x14ac:dyDescent="0.3">
      <c r="A1657" s="34"/>
      <c r="B1657" s="34"/>
      <c r="C1657" s="34"/>
      <c r="D1657" s="34"/>
      <c r="E1657" s="34"/>
      <c r="F1657" s="34"/>
      <c r="G1657" s="34"/>
    </row>
    <row r="1658" spans="1:7" x14ac:dyDescent="0.3">
      <c r="A1658" s="34"/>
      <c r="B1658" s="34"/>
      <c r="C1658" s="34"/>
      <c r="D1658" s="34"/>
      <c r="E1658" s="34"/>
      <c r="F1658" s="34"/>
      <c r="G1658" s="34"/>
    </row>
    <row r="1659" spans="1:7" x14ac:dyDescent="0.3">
      <c r="A1659" s="34"/>
      <c r="B1659" s="34"/>
      <c r="C1659" s="34"/>
      <c r="D1659" s="34"/>
      <c r="E1659" s="34"/>
      <c r="F1659" s="34"/>
      <c r="G1659" s="34"/>
    </row>
    <row r="1660" spans="1:7" x14ac:dyDescent="0.3">
      <c r="A1660" s="34"/>
      <c r="B1660" s="34"/>
      <c r="C1660" s="34"/>
      <c r="D1660" s="34"/>
      <c r="E1660" s="34"/>
      <c r="F1660" s="34"/>
      <c r="G1660" s="34"/>
    </row>
    <row r="1661" spans="1:7" x14ac:dyDescent="0.3">
      <c r="A1661" s="34"/>
      <c r="B1661" s="34"/>
      <c r="C1661" s="34"/>
      <c r="D1661" s="34"/>
      <c r="E1661" s="34"/>
      <c r="F1661" s="34"/>
      <c r="G1661" s="34"/>
    </row>
    <row r="1662" spans="1:7" x14ac:dyDescent="0.3">
      <c r="A1662" s="34"/>
      <c r="B1662" s="34"/>
      <c r="C1662" s="34"/>
      <c r="D1662" s="34"/>
      <c r="E1662" s="34"/>
      <c r="F1662" s="34"/>
      <c r="G1662" s="34"/>
    </row>
    <row r="1663" spans="1:7" x14ac:dyDescent="0.3">
      <c r="A1663" s="34"/>
      <c r="B1663" s="34"/>
      <c r="C1663" s="34"/>
      <c r="D1663" s="34"/>
      <c r="E1663" s="34"/>
      <c r="F1663" s="34"/>
      <c r="G1663" s="34"/>
    </row>
    <row r="1664" spans="1:7" x14ac:dyDescent="0.3">
      <c r="A1664" s="34"/>
      <c r="B1664" s="34"/>
      <c r="C1664" s="34"/>
      <c r="D1664" s="34"/>
      <c r="E1664" s="34"/>
      <c r="F1664" s="34"/>
      <c r="G1664" s="34"/>
    </row>
    <row r="1665" spans="1:7" x14ac:dyDescent="0.3">
      <c r="A1665" s="34"/>
      <c r="B1665" s="34"/>
      <c r="C1665" s="34"/>
      <c r="D1665" s="34"/>
      <c r="E1665" s="34"/>
      <c r="F1665" s="34"/>
      <c r="G1665" s="34"/>
    </row>
    <row r="1666" spans="1:7" x14ac:dyDescent="0.3">
      <c r="A1666" s="34"/>
      <c r="B1666" s="34"/>
      <c r="C1666" s="34"/>
      <c r="D1666" s="34"/>
      <c r="E1666" s="34"/>
      <c r="F1666" s="34"/>
      <c r="G1666" s="34"/>
    </row>
    <row r="1667" spans="1:7" x14ac:dyDescent="0.3">
      <c r="A1667" s="34"/>
      <c r="B1667" s="34"/>
      <c r="C1667" s="34"/>
      <c r="D1667" s="34"/>
      <c r="E1667" s="34"/>
      <c r="F1667" s="34"/>
      <c r="G1667" s="34"/>
    </row>
    <row r="1668" spans="1:7" x14ac:dyDescent="0.3">
      <c r="A1668" s="34"/>
      <c r="B1668" s="34"/>
      <c r="C1668" s="34"/>
      <c r="D1668" s="34"/>
      <c r="E1668" s="34"/>
      <c r="F1668" s="34"/>
      <c r="G1668" s="34"/>
    </row>
    <row r="1669" spans="1:7" x14ac:dyDescent="0.3">
      <c r="A1669" s="34"/>
      <c r="B1669" s="34"/>
      <c r="C1669" s="34"/>
      <c r="D1669" s="34"/>
      <c r="E1669" s="34"/>
      <c r="F1669" s="34"/>
      <c r="G1669" s="34"/>
    </row>
    <row r="1670" spans="1:7" x14ac:dyDescent="0.3">
      <c r="A1670" s="34"/>
      <c r="B1670" s="34"/>
      <c r="C1670" s="34"/>
      <c r="D1670" s="34"/>
      <c r="E1670" s="34"/>
      <c r="F1670" s="34"/>
      <c r="G1670" s="34"/>
    </row>
    <row r="1671" spans="1:7" x14ac:dyDescent="0.3">
      <c r="A1671" s="34"/>
      <c r="B1671" s="34"/>
      <c r="C1671" s="34"/>
      <c r="D1671" s="34"/>
      <c r="E1671" s="34"/>
      <c r="F1671" s="34"/>
      <c r="G1671" s="34"/>
    </row>
    <row r="1672" spans="1:7" x14ac:dyDescent="0.3">
      <c r="A1672" s="34"/>
      <c r="B1672" s="34"/>
      <c r="C1672" s="34"/>
      <c r="D1672" s="34"/>
      <c r="E1672" s="34"/>
      <c r="F1672" s="34"/>
      <c r="G1672" s="34"/>
    </row>
    <row r="1673" spans="1:7" x14ac:dyDescent="0.3">
      <c r="A1673" s="34"/>
      <c r="B1673" s="34"/>
      <c r="C1673" s="34"/>
      <c r="D1673" s="34"/>
      <c r="E1673" s="34"/>
      <c r="F1673" s="34"/>
      <c r="G1673" s="34"/>
    </row>
    <row r="1674" spans="1:7" x14ac:dyDescent="0.3">
      <c r="A1674" s="34"/>
      <c r="B1674" s="34"/>
      <c r="C1674" s="34"/>
      <c r="D1674" s="34"/>
      <c r="E1674" s="34"/>
      <c r="F1674" s="34"/>
      <c r="G1674" s="34"/>
    </row>
    <row r="1675" spans="1:7" x14ac:dyDescent="0.3">
      <c r="A1675" s="34"/>
      <c r="B1675" s="34"/>
      <c r="C1675" s="34"/>
      <c r="D1675" s="34"/>
      <c r="E1675" s="34"/>
      <c r="F1675" s="34"/>
      <c r="G1675" s="34"/>
    </row>
    <row r="1676" spans="1:7" x14ac:dyDescent="0.3">
      <c r="A1676" s="34"/>
      <c r="B1676" s="34"/>
      <c r="C1676" s="34"/>
      <c r="D1676" s="34"/>
      <c r="E1676" s="34"/>
      <c r="F1676" s="34"/>
      <c r="G1676" s="34"/>
    </row>
    <row r="1677" spans="1:7" x14ac:dyDescent="0.3">
      <c r="A1677" s="34"/>
      <c r="B1677" s="34"/>
      <c r="C1677" s="34"/>
      <c r="D1677" s="34"/>
      <c r="E1677" s="34"/>
      <c r="F1677" s="34"/>
      <c r="G1677" s="34"/>
    </row>
    <row r="1678" spans="1:7" x14ac:dyDescent="0.3">
      <c r="A1678" s="34"/>
      <c r="B1678" s="34"/>
      <c r="C1678" s="34"/>
      <c r="D1678" s="34"/>
      <c r="E1678" s="34"/>
      <c r="F1678" s="34"/>
      <c r="G1678" s="34"/>
    </row>
    <row r="1679" spans="1:7" x14ac:dyDescent="0.3">
      <c r="A1679" s="34"/>
      <c r="B1679" s="34"/>
      <c r="C1679" s="34"/>
      <c r="D1679" s="34"/>
      <c r="E1679" s="34"/>
      <c r="F1679" s="34"/>
      <c r="G1679" s="34"/>
    </row>
    <row r="1680" spans="1:7" x14ac:dyDescent="0.3">
      <c r="A1680" s="34"/>
      <c r="B1680" s="34"/>
      <c r="C1680" s="34"/>
      <c r="D1680" s="34"/>
      <c r="E1680" s="34"/>
      <c r="F1680" s="34"/>
      <c r="G1680" s="34"/>
    </row>
    <row r="1681" spans="1:7" x14ac:dyDescent="0.3">
      <c r="A1681" s="34"/>
      <c r="B1681" s="34"/>
      <c r="C1681" s="34"/>
      <c r="D1681" s="34"/>
      <c r="E1681" s="34"/>
      <c r="F1681" s="34"/>
      <c r="G1681" s="34"/>
    </row>
    <row r="1682" spans="1:7" x14ac:dyDescent="0.3">
      <c r="A1682" s="34"/>
      <c r="B1682" s="34"/>
      <c r="C1682" s="34"/>
      <c r="D1682" s="34"/>
      <c r="E1682" s="34"/>
      <c r="F1682" s="34"/>
      <c r="G1682" s="34"/>
    </row>
    <row r="1683" spans="1:7" x14ac:dyDescent="0.3">
      <c r="A1683" s="34"/>
      <c r="B1683" s="34"/>
      <c r="C1683" s="34"/>
      <c r="D1683" s="34"/>
      <c r="E1683" s="34"/>
      <c r="F1683" s="34"/>
      <c r="G1683" s="34"/>
    </row>
    <row r="1684" spans="1:7" x14ac:dyDescent="0.3">
      <c r="A1684" s="34"/>
      <c r="B1684" s="34"/>
      <c r="C1684" s="34"/>
      <c r="D1684" s="34"/>
      <c r="E1684" s="34"/>
      <c r="F1684" s="34"/>
      <c r="G1684" s="34"/>
    </row>
    <row r="1685" spans="1:7" x14ac:dyDescent="0.3">
      <c r="A1685" s="34"/>
      <c r="B1685" s="34"/>
      <c r="C1685" s="34"/>
      <c r="D1685" s="34"/>
      <c r="E1685" s="34"/>
      <c r="F1685" s="34"/>
      <c r="G1685" s="34"/>
    </row>
    <row r="1686" spans="1:7" x14ac:dyDescent="0.3">
      <c r="A1686" s="34"/>
      <c r="B1686" s="34"/>
      <c r="C1686" s="34"/>
      <c r="D1686" s="34"/>
      <c r="E1686" s="34"/>
      <c r="F1686" s="34"/>
      <c r="G1686" s="34"/>
    </row>
    <row r="1687" spans="1:7" x14ac:dyDescent="0.3">
      <c r="A1687" s="34"/>
      <c r="B1687" s="34"/>
      <c r="C1687" s="34"/>
      <c r="D1687" s="34"/>
      <c r="E1687" s="34"/>
      <c r="F1687" s="34"/>
      <c r="G1687" s="34"/>
    </row>
    <row r="1688" spans="1:7" x14ac:dyDescent="0.3">
      <c r="A1688" s="34"/>
      <c r="B1688" s="34"/>
      <c r="C1688" s="34"/>
      <c r="D1688" s="34"/>
      <c r="E1688" s="34"/>
      <c r="F1688" s="34"/>
      <c r="G1688" s="34"/>
    </row>
    <row r="1689" spans="1:7" x14ac:dyDescent="0.3">
      <c r="A1689" s="34"/>
      <c r="B1689" s="34"/>
      <c r="C1689" s="34"/>
      <c r="D1689" s="34"/>
      <c r="E1689" s="34"/>
      <c r="F1689" s="34"/>
      <c r="G1689" s="34"/>
    </row>
    <row r="1690" spans="1:7" x14ac:dyDescent="0.3">
      <c r="A1690" s="34"/>
      <c r="B1690" s="34"/>
      <c r="C1690" s="34"/>
      <c r="D1690" s="34"/>
      <c r="E1690" s="34"/>
      <c r="F1690" s="34"/>
      <c r="G1690" s="34"/>
    </row>
    <row r="1691" spans="1:7" x14ac:dyDescent="0.3">
      <c r="A1691" s="34"/>
      <c r="B1691" s="34"/>
      <c r="C1691" s="34"/>
      <c r="D1691" s="34"/>
      <c r="E1691" s="34"/>
      <c r="F1691" s="34"/>
      <c r="G1691" s="34"/>
    </row>
    <row r="1692" spans="1:7" x14ac:dyDescent="0.3">
      <c r="A1692" s="34"/>
      <c r="B1692" s="34"/>
      <c r="C1692" s="34"/>
      <c r="D1692" s="34"/>
      <c r="E1692" s="34"/>
      <c r="F1692" s="34"/>
      <c r="G1692" s="34"/>
    </row>
    <row r="1693" spans="1:7" x14ac:dyDescent="0.3">
      <c r="A1693" s="34"/>
      <c r="B1693" s="34"/>
      <c r="C1693" s="34"/>
      <c r="D1693" s="34"/>
      <c r="E1693" s="34"/>
      <c r="F1693" s="34"/>
      <c r="G1693" s="34"/>
    </row>
    <row r="1694" spans="1:7" x14ac:dyDescent="0.3">
      <c r="A1694" s="34"/>
      <c r="B1694" s="34"/>
      <c r="C1694" s="34"/>
      <c r="D1694" s="34"/>
      <c r="E1694" s="34"/>
      <c r="F1694" s="34"/>
      <c r="G1694" s="34"/>
    </row>
    <row r="1695" spans="1:7" x14ac:dyDescent="0.3">
      <c r="A1695" s="34"/>
      <c r="B1695" s="34"/>
      <c r="C1695" s="34"/>
      <c r="D1695" s="34"/>
      <c r="E1695" s="34"/>
      <c r="F1695" s="34"/>
      <c r="G1695" s="34"/>
    </row>
    <row r="1696" spans="1:7" x14ac:dyDescent="0.3">
      <c r="A1696" s="34"/>
      <c r="B1696" s="34"/>
      <c r="C1696" s="34"/>
      <c r="D1696" s="34"/>
      <c r="E1696" s="34"/>
      <c r="F1696" s="34"/>
      <c r="G1696" s="34"/>
    </row>
    <row r="1697" spans="1:7" x14ac:dyDescent="0.3">
      <c r="A1697" s="34"/>
      <c r="B1697" s="34"/>
      <c r="C1697" s="34"/>
      <c r="D1697" s="34"/>
      <c r="E1697" s="34"/>
      <c r="F1697" s="34"/>
      <c r="G1697" s="34"/>
    </row>
    <row r="1698" spans="1:7" x14ac:dyDescent="0.3">
      <c r="A1698" s="34"/>
      <c r="B1698" s="34"/>
      <c r="C1698" s="34"/>
      <c r="D1698" s="34"/>
      <c r="E1698" s="34"/>
      <c r="F1698" s="34"/>
      <c r="G1698" s="34"/>
    </row>
    <row r="1699" spans="1:7" x14ac:dyDescent="0.3">
      <c r="A1699" s="34"/>
      <c r="B1699" s="34"/>
      <c r="C1699" s="34"/>
      <c r="D1699" s="34"/>
      <c r="E1699" s="34"/>
      <c r="F1699" s="34"/>
      <c r="G1699" s="34"/>
    </row>
    <row r="1700" spans="1:7" x14ac:dyDescent="0.3">
      <c r="A1700" s="34"/>
      <c r="B1700" s="34"/>
      <c r="C1700" s="34"/>
      <c r="D1700" s="34"/>
      <c r="E1700" s="34"/>
      <c r="F1700" s="34"/>
      <c r="G1700" s="34"/>
    </row>
    <row r="1701" spans="1:7" x14ac:dyDescent="0.3">
      <c r="A1701" s="34"/>
      <c r="B1701" s="34"/>
      <c r="C1701" s="34"/>
      <c r="D1701" s="34"/>
      <c r="E1701" s="34"/>
      <c r="F1701" s="34"/>
      <c r="G1701" s="34"/>
    </row>
    <row r="1702" spans="1:7" x14ac:dyDescent="0.3">
      <c r="A1702" s="34"/>
      <c r="B1702" s="34"/>
      <c r="C1702" s="34"/>
      <c r="D1702" s="34"/>
      <c r="E1702" s="34"/>
      <c r="F1702" s="34"/>
      <c r="G1702" s="34"/>
    </row>
    <row r="1703" spans="1:7" x14ac:dyDescent="0.3">
      <c r="A1703" s="34"/>
      <c r="B1703" s="34"/>
      <c r="C1703" s="34"/>
      <c r="D1703" s="34"/>
      <c r="E1703" s="34"/>
      <c r="F1703" s="34"/>
      <c r="G1703" s="34"/>
    </row>
    <row r="1704" spans="1:7" x14ac:dyDescent="0.3">
      <c r="A1704" s="34"/>
      <c r="B1704" s="34"/>
      <c r="C1704" s="34"/>
      <c r="D1704" s="34"/>
      <c r="E1704" s="34"/>
      <c r="F1704" s="34"/>
      <c r="G1704" s="34"/>
    </row>
    <row r="1705" spans="1:7" x14ac:dyDescent="0.3">
      <c r="A1705" s="34"/>
      <c r="B1705" s="34"/>
      <c r="C1705" s="34"/>
      <c r="D1705" s="34"/>
      <c r="E1705" s="34"/>
      <c r="F1705" s="34"/>
      <c r="G1705" s="34"/>
    </row>
    <row r="1706" spans="1:7" x14ac:dyDescent="0.3">
      <c r="A1706" s="34"/>
      <c r="B1706" s="34"/>
      <c r="C1706" s="34"/>
      <c r="D1706" s="34"/>
      <c r="E1706" s="34"/>
      <c r="F1706" s="34"/>
      <c r="G1706" s="34"/>
    </row>
    <row r="1707" spans="1:7" x14ac:dyDescent="0.3">
      <c r="A1707" s="34"/>
      <c r="B1707" s="34"/>
      <c r="C1707" s="34"/>
      <c r="D1707" s="34"/>
      <c r="E1707" s="34"/>
      <c r="F1707" s="34"/>
      <c r="G1707" s="34"/>
    </row>
    <row r="1708" spans="1:7" x14ac:dyDescent="0.3">
      <c r="A1708" s="34"/>
      <c r="B1708" s="34"/>
      <c r="C1708" s="34"/>
      <c r="D1708" s="34"/>
      <c r="E1708" s="34"/>
      <c r="F1708" s="34"/>
      <c r="G1708" s="34"/>
    </row>
    <row r="1709" spans="1:7" x14ac:dyDescent="0.3">
      <c r="A1709" s="34"/>
      <c r="B1709" s="34"/>
      <c r="C1709" s="34"/>
      <c r="D1709" s="34"/>
      <c r="E1709" s="34"/>
      <c r="F1709" s="34"/>
      <c r="G1709" s="34"/>
    </row>
    <row r="1710" spans="1:7" x14ac:dyDescent="0.3">
      <c r="A1710" s="34"/>
      <c r="B1710" s="34"/>
      <c r="C1710" s="34"/>
      <c r="D1710" s="34"/>
      <c r="E1710" s="34"/>
      <c r="F1710" s="34"/>
      <c r="G1710" s="34"/>
    </row>
    <row r="1711" spans="1:7" x14ac:dyDescent="0.3">
      <c r="A1711" s="34"/>
      <c r="B1711" s="34"/>
      <c r="C1711" s="34"/>
      <c r="D1711" s="34"/>
      <c r="E1711" s="34"/>
      <c r="F1711" s="34"/>
      <c r="G1711" s="34"/>
    </row>
    <row r="1712" spans="1:7" x14ac:dyDescent="0.3">
      <c r="A1712" s="34"/>
      <c r="B1712" s="34"/>
      <c r="C1712" s="34"/>
      <c r="D1712" s="34"/>
      <c r="E1712" s="34"/>
      <c r="F1712" s="34"/>
      <c r="G1712" s="34"/>
    </row>
    <row r="1713" spans="1:7" x14ac:dyDescent="0.3">
      <c r="A1713" s="34"/>
      <c r="B1713" s="34"/>
      <c r="C1713" s="34"/>
      <c r="D1713" s="34"/>
      <c r="E1713" s="34"/>
      <c r="F1713" s="34"/>
      <c r="G1713" s="34"/>
    </row>
    <row r="1714" spans="1:7" x14ac:dyDescent="0.3">
      <c r="A1714" s="34"/>
      <c r="B1714" s="34"/>
      <c r="C1714" s="34"/>
      <c r="D1714" s="34"/>
      <c r="E1714" s="34"/>
      <c r="F1714" s="34"/>
      <c r="G1714" s="34"/>
    </row>
    <row r="1715" spans="1:7" x14ac:dyDescent="0.3">
      <c r="A1715" s="34"/>
      <c r="B1715" s="34"/>
      <c r="C1715" s="34"/>
      <c r="D1715" s="34"/>
      <c r="E1715" s="34"/>
      <c r="F1715" s="34"/>
      <c r="G1715" s="34"/>
    </row>
    <row r="1716" spans="1:7" x14ac:dyDescent="0.3">
      <c r="A1716" s="34"/>
      <c r="B1716" s="34"/>
      <c r="C1716" s="34"/>
      <c r="D1716" s="34"/>
      <c r="E1716" s="34"/>
      <c r="F1716" s="34"/>
      <c r="G1716" s="34"/>
    </row>
    <row r="1717" spans="1:7" x14ac:dyDescent="0.3">
      <c r="A1717" s="34"/>
      <c r="B1717" s="34"/>
      <c r="C1717" s="34"/>
      <c r="D1717" s="34"/>
      <c r="E1717" s="34"/>
      <c r="F1717" s="34"/>
      <c r="G1717" s="34"/>
    </row>
    <row r="1718" spans="1:7" x14ac:dyDescent="0.3">
      <c r="A1718" s="34"/>
      <c r="B1718" s="34"/>
      <c r="C1718" s="34"/>
      <c r="D1718" s="34"/>
      <c r="E1718" s="34"/>
      <c r="F1718" s="34"/>
      <c r="G1718" s="34"/>
    </row>
    <row r="1719" spans="1:7" x14ac:dyDescent="0.3">
      <c r="A1719" s="34"/>
      <c r="B1719" s="34"/>
      <c r="C1719" s="34"/>
      <c r="D1719" s="34"/>
      <c r="E1719" s="34"/>
      <c r="F1719" s="34"/>
      <c r="G1719" s="34"/>
    </row>
    <row r="1720" spans="1:7" x14ac:dyDescent="0.3">
      <c r="A1720" s="34"/>
      <c r="B1720" s="34"/>
      <c r="C1720" s="34"/>
      <c r="D1720" s="34"/>
      <c r="E1720" s="34"/>
      <c r="F1720" s="34"/>
      <c r="G1720" s="34"/>
    </row>
    <row r="1721" spans="1:7" x14ac:dyDescent="0.3">
      <c r="A1721" s="34"/>
      <c r="B1721" s="34"/>
      <c r="C1721" s="34"/>
      <c r="D1721" s="34"/>
      <c r="E1721" s="34"/>
      <c r="F1721" s="34"/>
      <c r="G1721" s="34"/>
    </row>
    <row r="1722" spans="1:7" x14ac:dyDescent="0.3">
      <c r="A1722" s="34"/>
      <c r="B1722" s="34"/>
      <c r="C1722" s="34"/>
      <c r="D1722" s="34"/>
      <c r="E1722" s="34"/>
      <c r="F1722" s="34"/>
      <c r="G1722" s="34"/>
    </row>
    <row r="1723" spans="1:7" x14ac:dyDescent="0.3">
      <c r="A1723" s="34"/>
      <c r="B1723" s="34"/>
      <c r="C1723" s="34"/>
      <c r="D1723" s="34"/>
      <c r="E1723" s="34"/>
      <c r="F1723" s="34"/>
      <c r="G1723" s="34"/>
    </row>
    <row r="1724" spans="1:7" x14ac:dyDescent="0.3">
      <c r="A1724" s="34"/>
      <c r="B1724" s="34"/>
      <c r="C1724" s="34"/>
      <c r="D1724" s="34"/>
      <c r="E1724" s="34"/>
      <c r="F1724" s="34"/>
      <c r="G1724" s="34"/>
    </row>
    <row r="1725" spans="1:7" x14ac:dyDescent="0.3">
      <c r="A1725" s="34"/>
      <c r="B1725" s="34"/>
      <c r="C1725" s="34"/>
      <c r="D1725" s="34"/>
      <c r="E1725" s="34"/>
      <c r="F1725" s="34"/>
      <c r="G1725" s="34"/>
    </row>
    <row r="1726" spans="1:7" x14ac:dyDescent="0.3">
      <c r="A1726" s="34"/>
      <c r="B1726" s="34"/>
      <c r="C1726" s="34"/>
      <c r="D1726" s="34"/>
      <c r="E1726" s="34"/>
      <c r="F1726" s="34"/>
      <c r="G1726" s="34"/>
    </row>
    <row r="1727" spans="1:7" x14ac:dyDescent="0.3">
      <c r="A1727" s="34"/>
      <c r="B1727" s="34"/>
      <c r="C1727" s="34"/>
      <c r="D1727" s="34"/>
      <c r="E1727" s="34"/>
      <c r="F1727" s="34"/>
      <c r="G1727" s="34"/>
    </row>
    <row r="1728" spans="1:7" x14ac:dyDescent="0.3">
      <c r="A1728" s="34"/>
      <c r="B1728" s="34"/>
      <c r="C1728" s="34"/>
      <c r="D1728" s="34"/>
      <c r="E1728" s="34"/>
      <c r="F1728" s="34"/>
      <c r="G1728" s="34"/>
    </row>
    <row r="1729" spans="1:7" x14ac:dyDescent="0.3">
      <c r="A1729" s="34"/>
      <c r="B1729" s="34"/>
      <c r="C1729" s="34"/>
      <c r="D1729" s="34"/>
      <c r="E1729" s="34"/>
      <c r="F1729" s="34"/>
      <c r="G1729" s="34"/>
    </row>
    <row r="1730" spans="1:7" x14ac:dyDescent="0.3">
      <c r="A1730" s="34"/>
      <c r="B1730" s="34"/>
      <c r="C1730" s="34"/>
      <c r="D1730" s="34"/>
      <c r="E1730" s="34"/>
      <c r="F1730" s="34"/>
      <c r="G1730" s="34"/>
    </row>
    <row r="1731" spans="1:7" x14ac:dyDescent="0.3">
      <c r="A1731" s="34"/>
      <c r="B1731" s="34"/>
      <c r="C1731" s="34"/>
      <c r="D1731" s="34"/>
      <c r="E1731" s="34"/>
      <c r="F1731" s="34"/>
      <c r="G1731" s="34"/>
    </row>
    <row r="1732" spans="1:7" x14ac:dyDescent="0.3">
      <c r="A1732" s="34"/>
      <c r="B1732" s="34"/>
      <c r="C1732" s="34"/>
      <c r="D1732" s="34"/>
      <c r="E1732" s="34"/>
      <c r="F1732" s="34"/>
      <c r="G1732" s="34"/>
    </row>
    <row r="1733" spans="1:7" x14ac:dyDescent="0.3">
      <c r="A1733" s="34"/>
      <c r="B1733" s="34"/>
      <c r="C1733" s="34"/>
      <c r="D1733" s="34"/>
      <c r="E1733" s="34"/>
      <c r="F1733" s="34"/>
      <c r="G1733" s="34"/>
    </row>
    <row r="1734" spans="1:7" x14ac:dyDescent="0.3">
      <c r="A1734" s="34"/>
      <c r="B1734" s="34"/>
      <c r="C1734" s="34"/>
      <c r="D1734" s="34"/>
      <c r="E1734" s="34"/>
      <c r="F1734" s="34"/>
      <c r="G1734" s="34"/>
    </row>
    <row r="1735" spans="1:7" x14ac:dyDescent="0.3">
      <c r="A1735" s="34"/>
      <c r="B1735" s="34"/>
      <c r="C1735" s="34"/>
      <c r="D1735" s="34"/>
      <c r="E1735" s="34"/>
      <c r="F1735" s="34"/>
      <c r="G1735" s="34"/>
    </row>
    <row r="1736" spans="1:7" x14ac:dyDescent="0.3">
      <c r="A1736" s="34"/>
      <c r="B1736" s="34"/>
      <c r="C1736" s="34"/>
      <c r="D1736" s="34"/>
      <c r="E1736" s="34"/>
      <c r="F1736" s="34"/>
      <c r="G1736" s="34"/>
    </row>
    <row r="1737" spans="1:7" x14ac:dyDescent="0.3">
      <c r="A1737" s="34"/>
      <c r="B1737" s="34"/>
      <c r="C1737" s="34"/>
      <c r="D1737" s="34"/>
      <c r="E1737" s="34"/>
      <c r="F1737" s="34"/>
      <c r="G1737" s="34"/>
    </row>
    <row r="1738" spans="1:7" x14ac:dyDescent="0.3">
      <c r="A1738" s="34"/>
      <c r="B1738" s="34"/>
      <c r="C1738" s="34"/>
      <c r="D1738" s="34"/>
      <c r="E1738" s="34"/>
      <c r="F1738" s="34"/>
      <c r="G1738" s="34"/>
    </row>
    <row r="1739" spans="1:7" x14ac:dyDescent="0.3">
      <c r="A1739" s="34"/>
      <c r="B1739" s="34"/>
      <c r="C1739" s="34"/>
      <c r="D1739" s="34"/>
      <c r="E1739" s="34"/>
      <c r="F1739" s="34"/>
      <c r="G1739" s="34"/>
    </row>
    <row r="1740" spans="1:7" x14ac:dyDescent="0.3">
      <c r="A1740" s="34"/>
      <c r="B1740" s="34"/>
      <c r="C1740" s="34"/>
      <c r="D1740" s="34"/>
      <c r="E1740" s="34"/>
      <c r="F1740" s="34"/>
      <c r="G1740" s="34"/>
    </row>
    <row r="1741" spans="1:7" x14ac:dyDescent="0.3">
      <c r="A1741" s="34"/>
      <c r="B1741" s="34"/>
      <c r="C1741" s="34"/>
      <c r="D1741" s="34"/>
      <c r="E1741" s="34"/>
      <c r="F1741" s="34"/>
      <c r="G1741" s="34"/>
    </row>
    <row r="1742" spans="1:7" x14ac:dyDescent="0.3">
      <c r="A1742" s="34"/>
      <c r="B1742" s="34"/>
      <c r="C1742" s="34"/>
      <c r="D1742" s="34"/>
      <c r="E1742" s="34"/>
      <c r="F1742" s="34"/>
      <c r="G1742" s="34"/>
    </row>
    <row r="1743" spans="1:7" x14ac:dyDescent="0.3">
      <c r="A1743" s="34"/>
      <c r="B1743" s="34"/>
      <c r="C1743" s="34"/>
      <c r="D1743" s="34"/>
      <c r="E1743" s="34"/>
      <c r="F1743" s="34"/>
      <c r="G1743" s="34"/>
    </row>
    <row r="1744" spans="1:7" x14ac:dyDescent="0.3">
      <c r="A1744" s="34"/>
      <c r="B1744" s="34"/>
      <c r="C1744" s="34"/>
      <c r="D1744" s="34"/>
      <c r="E1744" s="34"/>
      <c r="F1744" s="34"/>
      <c r="G1744" s="34"/>
    </row>
    <row r="1745" spans="1:7" x14ac:dyDescent="0.3">
      <c r="A1745" s="34"/>
      <c r="B1745" s="34"/>
      <c r="C1745" s="34"/>
      <c r="D1745" s="34"/>
      <c r="E1745" s="34"/>
      <c r="F1745" s="34"/>
      <c r="G1745" s="34"/>
    </row>
    <row r="1746" spans="1:7" x14ac:dyDescent="0.3">
      <c r="A1746" s="34"/>
      <c r="B1746" s="34"/>
      <c r="C1746" s="34"/>
      <c r="D1746" s="34"/>
      <c r="E1746" s="34"/>
      <c r="F1746" s="34"/>
      <c r="G1746" s="34"/>
    </row>
    <row r="1747" spans="1:7" x14ac:dyDescent="0.3">
      <c r="A1747" s="34"/>
      <c r="B1747" s="34"/>
      <c r="C1747" s="34"/>
      <c r="D1747" s="34"/>
      <c r="E1747" s="34"/>
      <c r="F1747" s="34"/>
      <c r="G1747" s="34"/>
    </row>
    <row r="1748" spans="1:7" x14ac:dyDescent="0.3">
      <c r="A1748" s="34"/>
      <c r="B1748" s="34"/>
      <c r="C1748" s="34"/>
      <c r="D1748" s="34"/>
      <c r="E1748" s="34"/>
      <c r="F1748" s="34"/>
      <c r="G1748" s="34"/>
    </row>
    <row r="1749" spans="1:7" x14ac:dyDescent="0.3">
      <c r="A1749" s="34"/>
      <c r="B1749" s="34"/>
      <c r="C1749" s="34"/>
      <c r="D1749" s="34"/>
      <c r="E1749" s="34"/>
      <c r="F1749" s="34"/>
      <c r="G1749" s="34"/>
    </row>
    <row r="1750" spans="1:7" x14ac:dyDescent="0.3">
      <c r="A1750" s="34"/>
      <c r="B1750" s="34"/>
      <c r="C1750" s="34"/>
      <c r="D1750" s="34"/>
      <c r="E1750" s="34"/>
      <c r="F1750" s="34"/>
      <c r="G1750" s="34"/>
    </row>
    <row r="1751" spans="1:7" x14ac:dyDescent="0.3">
      <c r="A1751" s="34"/>
      <c r="B1751" s="34"/>
      <c r="C1751" s="34"/>
      <c r="D1751" s="34"/>
      <c r="E1751" s="34"/>
      <c r="F1751" s="34"/>
      <c r="G1751" s="34"/>
    </row>
    <row r="1752" spans="1:7" x14ac:dyDescent="0.3">
      <c r="A1752" s="34"/>
      <c r="B1752" s="34"/>
      <c r="C1752" s="34"/>
      <c r="D1752" s="34"/>
      <c r="E1752" s="34"/>
      <c r="F1752" s="34"/>
      <c r="G1752" s="34"/>
    </row>
    <row r="1753" spans="1:7" x14ac:dyDescent="0.3">
      <c r="A1753" s="34"/>
      <c r="B1753" s="34"/>
      <c r="C1753" s="34"/>
      <c r="D1753" s="34"/>
      <c r="E1753" s="34"/>
      <c r="F1753" s="34"/>
      <c r="G1753" s="34"/>
    </row>
    <row r="1754" spans="1:7" x14ac:dyDescent="0.3">
      <c r="A1754" s="34"/>
      <c r="B1754" s="34"/>
      <c r="C1754" s="34"/>
      <c r="D1754" s="34"/>
      <c r="E1754" s="34"/>
      <c r="F1754" s="34"/>
      <c r="G1754" s="34"/>
    </row>
    <row r="1755" spans="1:7" x14ac:dyDescent="0.3">
      <c r="A1755" s="34"/>
      <c r="B1755" s="34"/>
      <c r="C1755" s="34"/>
      <c r="D1755" s="34"/>
      <c r="E1755" s="34"/>
      <c r="F1755" s="34"/>
      <c r="G1755" s="34"/>
    </row>
    <row r="1756" spans="1:7" x14ac:dyDescent="0.3">
      <c r="A1756" s="34"/>
      <c r="B1756" s="34"/>
      <c r="C1756" s="34"/>
      <c r="D1756" s="34"/>
      <c r="E1756" s="34"/>
      <c r="F1756" s="34"/>
      <c r="G1756" s="34"/>
    </row>
    <row r="1757" spans="1:7" x14ac:dyDescent="0.3">
      <c r="A1757" s="34"/>
      <c r="B1757" s="34"/>
      <c r="C1757" s="34"/>
      <c r="D1757" s="34"/>
      <c r="E1757" s="34"/>
      <c r="F1757" s="34"/>
      <c r="G1757" s="34"/>
    </row>
    <row r="1758" spans="1:7" x14ac:dyDescent="0.3">
      <c r="A1758" s="34"/>
      <c r="B1758" s="34"/>
      <c r="C1758" s="34"/>
      <c r="D1758" s="34"/>
      <c r="E1758" s="34"/>
      <c r="F1758" s="34"/>
      <c r="G1758" s="34"/>
    </row>
    <row r="1759" spans="1:7" x14ac:dyDescent="0.3">
      <c r="A1759" s="34"/>
      <c r="B1759" s="34"/>
      <c r="C1759" s="34"/>
      <c r="D1759" s="34"/>
      <c r="E1759" s="34"/>
      <c r="F1759" s="34"/>
      <c r="G1759" s="34"/>
    </row>
    <row r="1760" spans="1:7" x14ac:dyDescent="0.3">
      <c r="A1760" s="34"/>
      <c r="B1760" s="34"/>
      <c r="C1760" s="34"/>
      <c r="D1760" s="34"/>
      <c r="E1760" s="34"/>
      <c r="F1760" s="34"/>
      <c r="G1760" s="34"/>
    </row>
    <row r="1761" spans="1:7" x14ac:dyDescent="0.3">
      <c r="A1761" s="34"/>
      <c r="B1761" s="34"/>
      <c r="C1761" s="34"/>
      <c r="D1761" s="34"/>
      <c r="E1761" s="34"/>
      <c r="F1761" s="34"/>
      <c r="G1761" s="34"/>
    </row>
    <row r="1762" spans="1:7" x14ac:dyDescent="0.3">
      <c r="A1762" s="34"/>
      <c r="B1762" s="34"/>
      <c r="C1762" s="34"/>
      <c r="D1762" s="34"/>
      <c r="E1762" s="34"/>
      <c r="F1762" s="34"/>
      <c r="G1762" s="34"/>
    </row>
    <row r="1763" spans="1:7" x14ac:dyDescent="0.3">
      <c r="A1763" s="34"/>
      <c r="B1763" s="34"/>
      <c r="C1763" s="34"/>
      <c r="D1763" s="34"/>
      <c r="E1763" s="34"/>
      <c r="F1763" s="34"/>
      <c r="G1763" s="34"/>
    </row>
    <row r="1764" spans="1:7" x14ac:dyDescent="0.3">
      <c r="A1764" s="34"/>
      <c r="B1764" s="34"/>
      <c r="C1764" s="34"/>
      <c r="D1764" s="34"/>
      <c r="E1764" s="34"/>
      <c r="F1764" s="34"/>
      <c r="G1764" s="34"/>
    </row>
    <row r="1765" spans="1:7" x14ac:dyDescent="0.3">
      <c r="A1765" s="34"/>
      <c r="B1765" s="34"/>
      <c r="C1765" s="34"/>
      <c r="D1765" s="34"/>
      <c r="E1765" s="34"/>
      <c r="F1765" s="34"/>
      <c r="G1765" s="34"/>
    </row>
    <row r="1766" spans="1:7" x14ac:dyDescent="0.3">
      <c r="A1766" s="34"/>
      <c r="B1766" s="34"/>
      <c r="C1766" s="34"/>
      <c r="D1766" s="34"/>
      <c r="E1766" s="34"/>
      <c r="F1766" s="34"/>
      <c r="G1766" s="34"/>
    </row>
    <row r="1767" spans="1:7" x14ac:dyDescent="0.3">
      <c r="A1767" s="34"/>
      <c r="B1767" s="34"/>
      <c r="C1767" s="34"/>
      <c r="D1767" s="34"/>
      <c r="E1767" s="34"/>
      <c r="F1767" s="34"/>
      <c r="G1767" s="34"/>
    </row>
    <row r="1768" spans="1:7" x14ac:dyDescent="0.3">
      <c r="A1768" s="34"/>
      <c r="B1768" s="34"/>
      <c r="C1768" s="34"/>
      <c r="D1768" s="34"/>
      <c r="E1768" s="34"/>
      <c r="F1768" s="34"/>
      <c r="G1768" s="34"/>
    </row>
    <row r="1769" spans="1:7" x14ac:dyDescent="0.3">
      <c r="A1769" s="34"/>
      <c r="B1769" s="34"/>
      <c r="C1769" s="34"/>
      <c r="D1769" s="34"/>
      <c r="E1769" s="34"/>
      <c r="F1769" s="34"/>
      <c r="G1769" s="34"/>
    </row>
    <row r="1770" spans="1:7" x14ac:dyDescent="0.3">
      <c r="A1770" s="34"/>
      <c r="B1770" s="34"/>
      <c r="C1770" s="34"/>
      <c r="D1770" s="34"/>
      <c r="E1770" s="34"/>
      <c r="F1770" s="34"/>
      <c r="G1770" s="34"/>
    </row>
    <row r="1771" spans="1:7" x14ac:dyDescent="0.3">
      <c r="A1771" s="34"/>
      <c r="B1771" s="34"/>
      <c r="C1771" s="34"/>
      <c r="D1771" s="34"/>
      <c r="E1771" s="34"/>
      <c r="F1771" s="34"/>
      <c r="G1771" s="34"/>
    </row>
    <row r="1772" spans="1:7" x14ac:dyDescent="0.3">
      <c r="A1772" s="34"/>
      <c r="B1772" s="34"/>
      <c r="C1772" s="34"/>
      <c r="D1772" s="34"/>
      <c r="E1772" s="34"/>
      <c r="F1772" s="34"/>
      <c r="G1772" s="34"/>
    </row>
    <row r="1773" spans="1:7" x14ac:dyDescent="0.3">
      <c r="A1773" s="34"/>
      <c r="B1773" s="34"/>
      <c r="C1773" s="34"/>
      <c r="D1773" s="34"/>
      <c r="E1773" s="34"/>
      <c r="F1773" s="34"/>
      <c r="G1773" s="34"/>
    </row>
    <row r="1774" spans="1:7" x14ac:dyDescent="0.3">
      <c r="A1774" s="34"/>
      <c r="B1774" s="34"/>
      <c r="C1774" s="34"/>
      <c r="D1774" s="34"/>
      <c r="E1774" s="34"/>
      <c r="F1774" s="34"/>
      <c r="G1774" s="34"/>
    </row>
    <row r="1775" spans="1:7" x14ac:dyDescent="0.3">
      <c r="A1775" s="34"/>
      <c r="B1775" s="34"/>
      <c r="C1775" s="34"/>
      <c r="D1775" s="34"/>
      <c r="E1775" s="34"/>
      <c r="F1775" s="34"/>
      <c r="G1775" s="34"/>
    </row>
    <row r="1776" spans="1:7" x14ac:dyDescent="0.3">
      <c r="A1776" s="34"/>
      <c r="B1776" s="34"/>
      <c r="C1776" s="34"/>
      <c r="D1776" s="34"/>
      <c r="E1776" s="34"/>
      <c r="F1776" s="34"/>
      <c r="G1776" s="34"/>
    </row>
    <row r="1777" spans="1:7" x14ac:dyDescent="0.3">
      <c r="A1777" s="34"/>
      <c r="B1777" s="34"/>
      <c r="C1777" s="34"/>
      <c r="D1777" s="34"/>
      <c r="E1777" s="34"/>
      <c r="F1777" s="34"/>
      <c r="G1777" s="34"/>
    </row>
    <row r="1778" spans="1:7" x14ac:dyDescent="0.3">
      <c r="A1778" s="34"/>
      <c r="B1778" s="34"/>
      <c r="C1778" s="34"/>
      <c r="D1778" s="34"/>
      <c r="E1778" s="34"/>
      <c r="F1778" s="34"/>
      <c r="G1778" s="34"/>
    </row>
    <row r="1779" spans="1:7" x14ac:dyDescent="0.3">
      <c r="A1779" s="34"/>
      <c r="B1779" s="34"/>
      <c r="C1779" s="34"/>
      <c r="D1779" s="34"/>
      <c r="E1779" s="34"/>
      <c r="F1779" s="34"/>
      <c r="G1779" s="34"/>
    </row>
    <row r="1780" spans="1:7" x14ac:dyDescent="0.3">
      <c r="A1780" s="34"/>
      <c r="B1780" s="34"/>
      <c r="C1780" s="34"/>
      <c r="D1780" s="34"/>
      <c r="E1780" s="34"/>
      <c r="F1780" s="34"/>
      <c r="G1780" s="34"/>
    </row>
    <row r="1781" spans="1:7" x14ac:dyDescent="0.3">
      <c r="A1781" s="34"/>
      <c r="B1781" s="34"/>
      <c r="C1781" s="34"/>
      <c r="D1781" s="34"/>
      <c r="E1781" s="34"/>
      <c r="F1781" s="34"/>
      <c r="G1781" s="34"/>
    </row>
    <row r="1782" spans="1:7" x14ac:dyDescent="0.3">
      <c r="A1782" s="34"/>
      <c r="B1782" s="34"/>
      <c r="C1782" s="34"/>
      <c r="D1782" s="34"/>
      <c r="E1782" s="34"/>
      <c r="F1782" s="34"/>
      <c r="G1782" s="34"/>
    </row>
    <row r="1783" spans="1:7" x14ac:dyDescent="0.3">
      <c r="A1783" s="34"/>
      <c r="B1783" s="34"/>
      <c r="C1783" s="34"/>
      <c r="D1783" s="34"/>
      <c r="E1783" s="34"/>
      <c r="F1783" s="34"/>
      <c r="G1783" s="34"/>
    </row>
    <row r="1784" spans="1:7" x14ac:dyDescent="0.3">
      <c r="A1784" s="34"/>
      <c r="B1784" s="34"/>
      <c r="C1784" s="34"/>
      <c r="D1784" s="34"/>
      <c r="E1784" s="34"/>
      <c r="F1784" s="34"/>
      <c r="G1784" s="34"/>
    </row>
    <row r="1785" spans="1:7" x14ac:dyDescent="0.3">
      <c r="A1785" s="34"/>
      <c r="B1785" s="34"/>
      <c r="C1785" s="34"/>
      <c r="D1785" s="34"/>
      <c r="E1785" s="34"/>
      <c r="F1785" s="34"/>
      <c r="G1785" s="34"/>
    </row>
    <row r="1786" spans="1:7" x14ac:dyDescent="0.3">
      <c r="A1786" s="34"/>
      <c r="B1786" s="34"/>
      <c r="C1786" s="34"/>
      <c r="D1786" s="34"/>
      <c r="E1786" s="34"/>
      <c r="F1786" s="34"/>
      <c r="G1786" s="34"/>
    </row>
    <row r="1787" spans="1:7" x14ac:dyDescent="0.3">
      <c r="A1787" s="34"/>
      <c r="B1787" s="34"/>
      <c r="C1787" s="34"/>
      <c r="D1787" s="34"/>
      <c r="E1787" s="34"/>
      <c r="F1787" s="34"/>
      <c r="G1787" s="34"/>
    </row>
    <row r="1788" spans="1:7" x14ac:dyDescent="0.3">
      <c r="A1788" s="34"/>
      <c r="B1788" s="34"/>
      <c r="C1788" s="34"/>
      <c r="D1788" s="34"/>
      <c r="E1788" s="34"/>
      <c r="F1788" s="34"/>
      <c r="G1788" s="34"/>
    </row>
    <row r="1789" spans="1:7" x14ac:dyDescent="0.3">
      <c r="A1789" s="34"/>
      <c r="B1789" s="34"/>
      <c r="C1789" s="34"/>
      <c r="D1789" s="34"/>
      <c r="E1789" s="34"/>
      <c r="F1789" s="34"/>
      <c r="G1789" s="34"/>
    </row>
    <row r="1790" spans="1:7" x14ac:dyDescent="0.3">
      <c r="A1790" s="34"/>
      <c r="B1790" s="34"/>
      <c r="C1790" s="34"/>
      <c r="D1790" s="34"/>
      <c r="E1790" s="34"/>
      <c r="F1790" s="34"/>
      <c r="G1790" s="34"/>
    </row>
    <row r="1791" spans="1:7" x14ac:dyDescent="0.3">
      <c r="A1791" s="34"/>
      <c r="B1791" s="34"/>
      <c r="C1791" s="34"/>
      <c r="D1791" s="34"/>
      <c r="E1791" s="34"/>
      <c r="F1791" s="34"/>
      <c r="G1791" s="34"/>
    </row>
    <row r="1792" spans="1:7" x14ac:dyDescent="0.3">
      <c r="A1792" s="34"/>
      <c r="B1792" s="34"/>
      <c r="C1792" s="34"/>
      <c r="D1792" s="34"/>
      <c r="E1792" s="34"/>
      <c r="F1792" s="34"/>
      <c r="G1792" s="34"/>
    </row>
    <row r="1793" spans="1:7" x14ac:dyDescent="0.3">
      <c r="A1793" s="34"/>
      <c r="B1793" s="34"/>
      <c r="C1793" s="34"/>
      <c r="D1793" s="34"/>
      <c r="E1793" s="34"/>
      <c r="F1793" s="34"/>
      <c r="G1793" s="34"/>
    </row>
    <row r="1794" spans="1:7" x14ac:dyDescent="0.3">
      <c r="A1794" s="34"/>
      <c r="B1794" s="34"/>
      <c r="C1794" s="34"/>
      <c r="D1794" s="34"/>
      <c r="E1794" s="34"/>
      <c r="F1794" s="34"/>
      <c r="G1794" s="34"/>
    </row>
    <row r="1795" spans="1:7" x14ac:dyDescent="0.3">
      <c r="A1795" s="34"/>
      <c r="B1795" s="34"/>
      <c r="C1795" s="34"/>
      <c r="D1795" s="34"/>
      <c r="E1795" s="34"/>
      <c r="F1795" s="34"/>
      <c r="G1795" s="34"/>
    </row>
    <row r="1796" spans="1:7" x14ac:dyDescent="0.3">
      <c r="A1796" s="34"/>
      <c r="B1796" s="34"/>
      <c r="C1796" s="34"/>
      <c r="D1796" s="34"/>
      <c r="E1796" s="34"/>
      <c r="F1796" s="34"/>
      <c r="G1796" s="34"/>
    </row>
    <row r="1797" spans="1:7" x14ac:dyDescent="0.3">
      <c r="A1797" s="34"/>
      <c r="B1797" s="34"/>
      <c r="C1797" s="34"/>
      <c r="D1797" s="34"/>
      <c r="E1797" s="34"/>
      <c r="F1797" s="34"/>
      <c r="G1797" s="34"/>
    </row>
    <row r="1798" spans="1:7" x14ac:dyDescent="0.3">
      <c r="A1798" s="34"/>
      <c r="B1798" s="34"/>
      <c r="C1798" s="34"/>
      <c r="D1798" s="34"/>
      <c r="E1798" s="34"/>
      <c r="F1798" s="34"/>
      <c r="G1798" s="34"/>
    </row>
    <row r="1799" spans="1:7" x14ac:dyDescent="0.3">
      <c r="A1799" s="34"/>
      <c r="B1799" s="34"/>
      <c r="C1799" s="34"/>
      <c r="D1799" s="34"/>
      <c r="E1799" s="34"/>
      <c r="F1799" s="34"/>
      <c r="G1799" s="34"/>
    </row>
    <row r="1800" spans="1:7" x14ac:dyDescent="0.3">
      <c r="A1800" s="34"/>
      <c r="B1800" s="34"/>
      <c r="C1800" s="34"/>
      <c r="D1800" s="34"/>
      <c r="E1800" s="34"/>
      <c r="F1800" s="34"/>
      <c r="G1800" s="34"/>
    </row>
    <row r="1801" spans="1:7" x14ac:dyDescent="0.3">
      <c r="A1801" s="34"/>
      <c r="B1801" s="34"/>
      <c r="C1801" s="34"/>
      <c r="D1801" s="34"/>
      <c r="E1801" s="34"/>
      <c r="F1801" s="34"/>
      <c r="G1801" s="34"/>
    </row>
    <row r="1802" spans="1:7" x14ac:dyDescent="0.3">
      <c r="A1802" s="34"/>
      <c r="B1802" s="34"/>
      <c r="C1802" s="34"/>
      <c r="D1802" s="34"/>
      <c r="E1802" s="34"/>
      <c r="F1802" s="34"/>
      <c r="G1802" s="34"/>
    </row>
    <row r="1803" spans="1:7" x14ac:dyDescent="0.3">
      <c r="A1803" s="34"/>
      <c r="B1803" s="34"/>
      <c r="C1803" s="34"/>
      <c r="D1803" s="34"/>
      <c r="E1803" s="34"/>
      <c r="F1803" s="34"/>
      <c r="G1803" s="34"/>
    </row>
    <row r="1804" spans="1:7" x14ac:dyDescent="0.3">
      <c r="A1804" s="34"/>
      <c r="B1804" s="34"/>
      <c r="C1804" s="34"/>
      <c r="D1804" s="34"/>
      <c r="E1804" s="34"/>
      <c r="F1804" s="34"/>
      <c r="G1804" s="34"/>
    </row>
    <row r="1805" spans="1:7" x14ac:dyDescent="0.3">
      <c r="A1805" s="34"/>
      <c r="B1805" s="34"/>
      <c r="C1805" s="34"/>
      <c r="D1805" s="34"/>
      <c r="E1805" s="34"/>
      <c r="F1805" s="34"/>
      <c r="G1805" s="34"/>
    </row>
    <row r="1806" spans="1:7" x14ac:dyDescent="0.3">
      <c r="A1806" s="34"/>
      <c r="B1806" s="34"/>
      <c r="C1806" s="34"/>
      <c r="D1806" s="34"/>
      <c r="E1806" s="34"/>
      <c r="F1806" s="34"/>
      <c r="G1806" s="34"/>
    </row>
    <row r="1807" spans="1:7" x14ac:dyDescent="0.3">
      <c r="A1807" s="34"/>
      <c r="B1807" s="34"/>
      <c r="C1807" s="34"/>
      <c r="D1807" s="34"/>
      <c r="E1807" s="34"/>
      <c r="F1807" s="34"/>
      <c r="G1807" s="34"/>
    </row>
    <row r="1808" spans="1:7" x14ac:dyDescent="0.3">
      <c r="A1808" s="34"/>
      <c r="B1808" s="34"/>
      <c r="C1808" s="34"/>
      <c r="D1808" s="34"/>
      <c r="E1808" s="34"/>
      <c r="F1808" s="34"/>
      <c r="G1808" s="34"/>
    </row>
    <row r="1809" spans="1:7" x14ac:dyDescent="0.3">
      <c r="A1809" s="34"/>
      <c r="B1809" s="34"/>
      <c r="C1809" s="34"/>
      <c r="D1809" s="34"/>
      <c r="E1809" s="34"/>
      <c r="F1809" s="34"/>
      <c r="G1809" s="34"/>
    </row>
    <row r="1810" spans="1:7" x14ac:dyDescent="0.3">
      <c r="A1810" s="34"/>
      <c r="B1810" s="34"/>
      <c r="C1810" s="34"/>
      <c r="D1810" s="34"/>
      <c r="E1810" s="34"/>
      <c r="F1810" s="34"/>
      <c r="G1810" s="34"/>
    </row>
    <row r="1811" spans="1:7" x14ac:dyDescent="0.3">
      <c r="A1811" s="34"/>
      <c r="B1811" s="34"/>
      <c r="C1811" s="34"/>
      <c r="D1811" s="34"/>
      <c r="E1811" s="34"/>
      <c r="F1811" s="34"/>
      <c r="G1811" s="34"/>
    </row>
    <row r="1812" spans="1:7" x14ac:dyDescent="0.3">
      <c r="A1812" s="34"/>
      <c r="B1812" s="34"/>
      <c r="C1812" s="34"/>
      <c r="D1812" s="34"/>
      <c r="E1812" s="34"/>
      <c r="F1812" s="34"/>
      <c r="G1812" s="34"/>
    </row>
    <row r="1813" spans="1:7" x14ac:dyDescent="0.3">
      <c r="A1813" s="34"/>
      <c r="B1813" s="34"/>
      <c r="C1813" s="34"/>
      <c r="D1813" s="34"/>
      <c r="E1813" s="34"/>
      <c r="F1813" s="34"/>
      <c r="G1813" s="34"/>
    </row>
    <row r="1814" spans="1:7" x14ac:dyDescent="0.3">
      <c r="A1814" s="34"/>
      <c r="B1814" s="34"/>
      <c r="C1814" s="34"/>
      <c r="D1814" s="34"/>
      <c r="E1814" s="34"/>
      <c r="F1814" s="34"/>
      <c r="G1814" s="34"/>
    </row>
    <row r="1815" spans="1:7" x14ac:dyDescent="0.3">
      <c r="A1815" s="34"/>
      <c r="B1815" s="34"/>
      <c r="C1815" s="34"/>
      <c r="D1815" s="34"/>
      <c r="E1815" s="34"/>
      <c r="F1815" s="34"/>
      <c r="G1815" s="34"/>
    </row>
    <row r="1816" spans="1:7" x14ac:dyDescent="0.3">
      <c r="A1816" s="34"/>
      <c r="B1816" s="34"/>
      <c r="C1816" s="34"/>
      <c r="D1816" s="34"/>
      <c r="E1816" s="34"/>
      <c r="F1816" s="34"/>
      <c r="G1816" s="34"/>
    </row>
    <row r="1817" spans="1:7" x14ac:dyDescent="0.3">
      <c r="A1817" s="34"/>
      <c r="B1817" s="34"/>
      <c r="C1817" s="34"/>
      <c r="D1817" s="34"/>
      <c r="E1817" s="34"/>
      <c r="F1817" s="34"/>
      <c r="G1817" s="34"/>
    </row>
    <row r="1818" spans="1:7" x14ac:dyDescent="0.3">
      <c r="A1818" s="34"/>
      <c r="B1818" s="34"/>
      <c r="C1818" s="34"/>
      <c r="D1818" s="34"/>
      <c r="E1818" s="34"/>
      <c r="F1818" s="34"/>
      <c r="G1818" s="34"/>
    </row>
    <row r="1819" spans="1:7" x14ac:dyDescent="0.3">
      <c r="A1819" s="34"/>
      <c r="B1819" s="34"/>
      <c r="C1819" s="34"/>
      <c r="D1819" s="34"/>
      <c r="E1819" s="34"/>
      <c r="F1819" s="34"/>
      <c r="G1819" s="34"/>
    </row>
    <row r="1820" spans="1:7" x14ac:dyDescent="0.3">
      <c r="A1820" s="34"/>
      <c r="B1820" s="34"/>
      <c r="C1820" s="34"/>
      <c r="D1820" s="34"/>
      <c r="E1820" s="34"/>
      <c r="F1820" s="34"/>
      <c r="G1820" s="34"/>
    </row>
    <row r="1821" spans="1:7" x14ac:dyDescent="0.3">
      <c r="A1821" s="34"/>
      <c r="B1821" s="34"/>
      <c r="C1821" s="34"/>
      <c r="D1821" s="34"/>
      <c r="E1821" s="34"/>
      <c r="F1821" s="34"/>
      <c r="G1821" s="34"/>
    </row>
    <row r="1822" spans="1:7" x14ac:dyDescent="0.3">
      <c r="A1822" s="34"/>
      <c r="B1822" s="34"/>
      <c r="C1822" s="34"/>
      <c r="D1822" s="34"/>
      <c r="E1822" s="34"/>
      <c r="F1822" s="34"/>
      <c r="G1822" s="34"/>
    </row>
    <row r="1823" spans="1:7" x14ac:dyDescent="0.3">
      <c r="A1823" s="34"/>
      <c r="B1823" s="34"/>
      <c r="C1823" s="34"/>
      <c r="D1823" s="34"/>
      <c r="E1823" s="34"/>
      <c r="F1823" s="34"/>
      <c r="G1823" s="34"/>
    </row>
    <row r="1824" spans="1:7" x14ac:dyDescent="0.3">
      <c r="A1824" s="34"/>
      <c r="B1824" s="34"/>
      <c r="C1824" s="34"/>
      <c r="D1824" s="34"/>
      <c r="E1824" s="34"/>
      <c r="F1824" s="34"/>
      <c r="G1824" s="34"/>
    </row>
    <row r="1825" spans="1:7" x14ac:dyDescent="0.3">
      <c r="A1825" s="34"/>
      <c r="B1825" s="34"/>
      <c r="C1825" s="34"/>
      <c r="D1825" s="34"/>
      <c r="E1825" s="34"/>
      <c r="F1825" s="34"/>
      <c r="G1825" s="34"/>
    </row>
    <row r="1826" spans="1:7" x14ac:dyDescent="0.3">
      <c r="A1826" s="34"/>
      <c r="B1826" s="34"/>
      <c r="C1826" s="34"/>
      <c r="D1826" s="34"/>
      <c r="E1826" s="34"/>
      <c r="F1826" s="34"/>
      <c r="G1826" s="34"/>
    </row>
    <row r="1827" spans="1:7" x14ac:dyDescent="0.3">
      <c r="A1827" s="34"/>
      <c r="B1827" s="34"/>
      <c r="C1827" s="34"/>
      <c r="D1827" s="34"/>
      <c r="E1827" s="34"/>
      <c r="F1827" s="34"/>
      <c r="G1827" s="34"/>
    </row>
    <row r="1828" spans="1:7" x14ac:dyDescent="0.3">
      <c r="A1828" s="34"/>
      <c r="B1828" s="34"/>
      <c r="C1828" s="34"/>
      <c r="D1828" s="34"/>
      <c r="E1828" s="34"/>
      <c r="F1828" s="34"/>
      <c r="G1828" s="34"/>
    </row>
    <row r="1829" spans="1:7" x14ac:dyDescent="0.3">
      <c r="A1829" s="34"/>
      <c r="B1829" s="34"/>
      <c r="C1829" s="34"/>
      <c r="D1829" s="34"/>
      <c r="E1829" s="34"/>
      <c r="F1829" s="34"/>
      <c r="G1829" s="34"/>
    </row>
    <row r="1830" spans="1:7" x14ac:dyDescent="0.3">
      <c r="A1830" s="34"/>
      <c r="B1830" s="34"/>
      <c r="C1830" s="34"/>
      <c r="D1830" s="34"/>
      <c r="E1830" s="34"/>
      <c r="F1830" s="34"/>
      <c r="G1830" s="34"/>
    </row>
    <row r="1831" spans="1:7" x14ac:dyDescent="0.3">
      <c r="A1831" s="34"/>
      <c r="B1831" s="34"/>
      <c r="C1831" s="34"/>
      <c r="D1831" s="34"/>
      <c r="E1831" s="34"/>
      <c r="F1831" s="34"/>
      <c r="G1831" s="34"/>
    </row>
    <row r="1832" spans="1:7" x14ac:dyDescent="0.3">
      <c r="A1832" s="34"/>
      <c r="B1832" s="34"/>
      <c r="C1832" s="34"/>
      <c r="D1832" s="34"/>
      <c r="E1832" s="34"/>
      <c r="F1832" s="34"/>
      <c r="G1832" s="34"/>
    </row>
    <row r="1833" spans="1:7" x14ac:dyDescent="0.3">
      <c r="A1833" s="34"/>
      <c r="B1833" s="34"/>
      <c r="C1833" s="34"/>
      <c r="D1833" s="34"/>
      <c r="E1833" s="34"/>
      <c r="F1833" s="34"/>
      <c r="G1833" s="34"/>
    </row>
    <row r="1834" spans="1:7" x14ac:dyDescent="0.3">
      <c r="A1834" s="34"/>
      <c r="B1834" s="34"/>
      <c r="C1834" s="34"/>
      <c r="D1834" s="34"/>
      <c r="E1834" s="34"/>
      <c r="F1834" s="34"/>
      <c r="G1834" s="34"/>
    </row>
    <row r="1835" spans="1:7" x14ac:dyDescent="0.3">
      <c r="A1835" s="34"/>
      <c r="B1835" s="34"/>
      <c r="C1835" s="34"/>
      <c r="D1835" s="34"/>
      <c r="E1835" s="34"/>
      <c r="F1835" s="34"/>
      <c r="G1835" s="34"/>
    </row>
    <row r="1836" spans="1:7" x14ac:dyDescent="0.3">
      <c r="A1836" s="34"/>
      <c r="B1836" s="34"/>
      <c r="C1836" s="34"/>
      <c r="D1836" s="34"/>
      <c r="E1836" s="34"/>
      <c r="F1836" s="34"/>
      <c r="G1836" s="34"/>
    </row>
    <row r="1837" spans="1:7" x14ac:dyDescent="0.3">
      <c r="A1837" s="34"/>
      <c r="B1837" s="34"/>
      <c r="C1837" s="34"/>
      <c r="D1837" s="34"/>
      <c r="E1837" s="34"/>
      <c r="F1837" s="34"/>
      <c r="G1837" s="34"/>
    </row>
    <row r="1838" spans="1:7" x14ac:dyDescent="0.3">
      <c r="A1838" s="34"/>
      <c r="B1838" s="34"/>
      <c r="C1838" s="34"/>
      <c r="D1838" s="34"/>
      <c r="E1838" s="34"/>
      <c r="F1838" s="34"/>
      <c r="G1838" s="34"/>
    </row>
    <row r="1839" spans="1:7" x14ac:dyDescent="0.3">
      <c r="A1839" s="34"/>
      <c r="B1839" s="34"/>
      <c r="C1839" s="34"/>
      <c r="D1839" s="34"/>
      <c r="E1839" s="34"/>
      <c r="F1839" s="34"/>
      <c r="G1839" s="34"/>
    </row>
    <row r="1840" spans="1:7" x14ac:dyDescent="0.3">
      <c r="A1840" s="34"/>
      <c r="B1840" s="34"/>
      <c r="C1840" s="34"/>
      <c r="D1840" s="34"/>
      <c r="E1840" s="34"/>
      <c r="F1840" s="34"/>
      <c r="G1840" s="34"/>
    </row>
    <row r="1841" spans="1:7" x14ac:dyDescent="0.3">
      <c r="A1841" s="34"/>
      <c r="B1841" s="34"/>
      <c r="C1841" s="34"/>
      <c r="D1841" s="34"/>
      <c r="E1841" s="34"/>
      <c r="F1841" s="34"/>
      <c r="G1841" s="34"/>
    </row>
    <row r="1842" spans="1:7" x14ac:dyDescent="0.3">
      <c r="A1842" s="34"/>
      <c r="B1842" s="34"/>
      <c r="C1842" s="34"/>
      <c r="D1842" s="34"/>
      <c r="E1842" s="34"/>
      <c r="F1842" s="34"/>
      <c r="G1842" s="34"/>
    </row>
    <row r="1843" spans="1:7" x14ac:dyDescent="0.3">
      <c r="A1843" s="34"/>
      <c r="B1843" s="34"/>
      <c r="C1843" s="34"/>
      <c r="D1843" s="34"/>
      <c r="E1843" s="34"/>
      <c r="F1843" s="34"/>
      <c r="G1843" s="34"/>
    </row>
    <row r="1844" spans="1:7" x14ac:dyDescent="0.3">
      <c r="A1844" s="34"/>
      <c r="B1844" s="34"/>
      <c r="C1844" s="34"/>
      <c r="D1844" s="34"/>
      <c r="E1844" s="34"/>
      <c r="F1844" s="34"/>
      <c r="G1844" s="34"/>
    </row>
    <row r="1845" spans="1:7" x14ac:dyDescent="0.3">
      <c r="A1845" s="34"/>
      <c r="B1845" s="34"/>
      <c r="C1845" s="34"/>
      <c r="D1845" s="34"/>
      <c r="E1845" s="34"/>
      <c r="F1845" s="34"/>
      <c r="G1845" s="34"/>
    </row>
    <row r="1846" spans="1:7" x14ac:dyDescent="0.3">
      <c r="A1846" s="34"/>
      <c r="B1846" s="34"/>
      <c r="C1846" s="34"/>
      <c r="D1846" s="34"/>
      <c r="E1846" s="34"/>
      <c r="F1846" s="34"/>
      <c r="G1846" s="34"/>
    </row>
    <row r="1847" spans="1:7" x14ac:dyDescent="0.3">
      <c r="A1847" s="34"/>
      <c r="B1847" s="34"/>
      <c r="C1847" s="34"/>
      <c r="D1847" s="34"/>
      <c r="E1847" s="34"/>
      <c r="F1847" s="34"/>
      <c r="G1847" s="34"/>
    </row>
    <row r="1848" spans="1:7" x14ac:dyDescent="0.3">
      <c r="A1848" s="34"/>
      <c r="B1848" s="34"/>
      <c r="C1848" s="34"/>
      <c r="D1848" s="34"/>
      <c r="E1848" s="34"/>
      <c r="F1848" s="34"/>
      <c r="G1848" s="34"/>
    </row>
    <row r="1849" spans="1:7" x14ac:dyDescent="0.3">
      <c r="A1849" s="34"/>
      <c r="B1849" s="34"/>
      <c r="C1849" s="34"/>
      <c r="D1849" s="34"/>
      <c r="E1849" s="34"/>
      <c r="F1849" s="34"/>
      <c r="G1849" s="34"/>
    </row>
    <row r="1850" spans="1:7" x14ac:dyDescent="0.3">
      <c r="A1850" s="34"/>
      <c r="B1850" s="34"/>
      <c r="C1850" s="34"/>
      <c r="D1850" s="34"/>
      <c r="E1850" s="34"/>
      <c r="F1850" s="34"/>
      <c r="G1850" s="34"/>
    </row>
    <row r="1851" spans="1:7" x14ac:dyDescent="0.3">
      <c r="A1851" s="34"/>
      <c r="B1851" s="34"/>
      <c r="C1851" s="34"/>
      <c r="D1851" s="34"/>
      <c r="E1851" s="34"/>
      <c r="F1851" s="34"/>
      <c r="G1851" s="34"/>
    </row>
    <row r="1852" spans="1:7" x14ac:dyDescent="0.3">
      <c r="A1852" s="34"/>
      <c r="B1852" s="34"/>
      <c r="C1852" s="34"/>
      <c r="D1852" s="34"/>
      <c r="E1852" s="34"/>
      <c r="F1852" s="34"/>
      <c r="G1852" s="34"/>
    </row>
    <row r="1853" spans="1:7" x14ac:dyDescent="0.3">
      <c r="A1853" s="34"/>
      <c r="B1853" s="34"/>
      <c r="C1853" s="34"/>
      <c r="D1853" s="34"/>
      <c r="E1853" s="34"/>
      <c r="F1853" s="34"/>
      <c r="G1853" s="34"/>
    </row>
    <row r="1854" spans="1:7" x14ac:dyDescent="0.3">
      <c r="A1854" s="34"/>
      <c r="B1854" s="34"/>
      <c r="C1854" s="34"/>
      <c r="D1854" s="34"/>
      <c r="E1854" s="34"/>
      <c r="F1854" s="34"/>
      <c r="G1854" s="34"/>
    </row>
    <row r="1855" spans="1:7" x14ac:dyDescent="0.3">
      <c r="A1855" s="34"/>
      <c r="B1855" s="34"/>
      <c r="C1855" s="34"/>
      <c r="D1855" s="34"/>
      <c r="E1855" s="34"/>
      <c r="F1855" s="34"/>
      <c r="G1855" s="34"/>
    </row>
    <row r="1856" spans="1:7" x14ac:dyDescent="0.3">
      <c r="A1856" s="34"/>
      <c r="B1856" s="34"/>
      <c r="C1856" s="34"/>
      <c r="D1856" s="34"/>
      <c r="E1856" s="34"/>
      <c r="F1856" s="34"/>
      <c r="G1856" s="34"/>
    </row>
    <row r="1857" spans="1:7" x14ac:dyDescent="0.3">
      <c r="A1857" s="34"/>
      <c r="B1857" s="34"/>
      <c r="C1857" s="34"/>
      <c r="D1857" s="34"/>
      <c r="E1857" s="34"/>
      <c r="F1857" s="34"/>
      <c r="G1857" s="34"/>
    </row>
    <row r="1858" spans="1:7" x14ac:dyDescent="0.3">
      <c r="A1858" s="34"/>
      <c r="B1858" s="34"/>
      <c r="C1858" s="34"/>
      <c r="D1858" s="34"/>
      <c r="E1858" s="34"/>
      <c r="F1858" s="34"/>
      <c r="G1858" s="34"/>
    </row>
    <row r="1859" spans="1:7" x14ac:dyDescent="0.3">
      <c r="A1859" s="34"/>
      <c r="B1859" s="34"/>
      <c r="C1859" s="34"/>
      <c r="D1859" s="34"/>
      <c r="E1859" s="34"/>
      <c r="F1859" s="34"/>
      <c r="G1859" s="34"/>
    </row>
    <row r="1860" spans="1:7" x14ac:dyDescent="0.3">
      <c r="A1860" s="34"/>
      <c r="B1860" s="34"/>
      <c r="C1860" s="34"/>
      <c r="D1860" s="34"/>
      <c r="E1860" s="34"/>
      <c r="F1860" s="34"/>
      <c r="G1860" s="34"/>
    </row>
    <row r="1861" spans="1:7" x14ac:dyDescent="0.3">
      <c r="A1861" s="34"/>
      <c r="B1861" s="34"/>
      <c r="C1861" s="34"/>
      <c r="D1861" s="34"/>
      <c r="E1861" s="34"/>
      <c r="F1861" s="34"/>
      <c r="G1861" s="34"/>
    </row>
    <row r="1862" spans="1:7" x14ac:dyDescent="0.3">
      <c r="A1862" s="34"/>
      <c r="B1862" s="34"/>
      <c r="C1862" s="34"/>
      <c r="D1862" s="34"/>
      <c r="E1862" s="34"/>
      <c r="F1862" s="34"/>
      <c r="G1862" s="34"/>
    </row>
    <row r="1863" spans="1:7" x14ac:dyDescent="0.3">
      <c r="A1863" s="34"/>
      <c r="B1863" s="34"/>
      <c r="C1863" s="34"/>
      <c r="D1863" s="34"/>
      <c r="E1863" s="34"/>
      <c r="F1863" s="34"/>
      <c r="G1863" s="34"/>
    </row>
    <row r="1864" spans="1:7" x14ac:dyDescent="0.3">
      <c r="A1864" s="34"/>
      <c r="B1864" s="34"/>
      <c r="C1864" s="34"/>
      <c r="D1864" s="34"/>
      <c r="E1864" s="34"/>
      <c r="F1864" s="34"/>
      <c r="G1864" s="34"/>
    </row>
    <row r="1865" spans="1:7" x14ac:dyDescent="0.3">
      <c r="A1865" s="34"/>
      <c r="B1865" s="34"/>
      <c r="C1865" s="34"/>
      <c r="D1865" s="34"/>
      <c r="E1865" s="34"/>
      <c r="F1865" s="34"/>
      <c r="G1865" s="34"/>
    </row>
    <row r="1866" spans="1:7" x14ac:dyDescent="0.3">
      <c r="A1866" s="34"/>
      <c r="B1866" s="34"/>
      <c r="C1866" s="34"/>
      <c r="D1866" s="34"/>
      <c r="E1866" s="34"/>
      <c r="F1866" s="34"/>
      <c r="G1866" s="34"/>
    </row>
    <row r="1867" spans="1:7" x14ac:dyDescent="0.3">
      <c r="A1867" s="34"/>
      <c r="B1867" s="34"/>
      <c r="C1867" s="34"/>
      <c r="D1867" s="34"/>
      <c r="E1867" s="34"/>
      <c r="F1867" s="34"/>
      <c r="G1867" s="34"/>
    </row>
    <row r="1868" spans="1:7" x14ac:dyDescent="0.3">
      <c r="A1868" s="34"/>
      <c r="B1868" s="34"/>
      <c r="C1868" s="34"/>
      <c r="D1868" s="34"/>
      <c r="E1868" s="34"/>
      <c r="F1868" s="34"/>
      <c r="G1868" s="34"/>
    </row>
    <row r="1869" spans="1:7" x14ac:dyDescent="0.3">
      <c r="A1869" s="34"/>
      <c r="B1869" s="34"/>
      <c r="C1869" s="34"/>
      <c r="D1869" s="34"/>
      <c r="E1869" s="34"/>
      <c r="F1869" s="34"/>
      <c r="G1869" s="34"/>
    </row>
    <row r="1870" spans="1:7" x14ac:dyDescent="0.3">
      <c r="A1870" s="34"/>
      <c r="B1870" s="34"/>
      <c r="C1870" s="34"/>
      <c r="D1870" s="34"/>
      <c r="E1870" s="34"/>
      <c r="F1870" s="34"/>
      <c r="G1870" s="34"/>
    </row>
    <row r="1871" spans="1:7" x14ac:dyDescent="0.3">
      <c r="A1871" s="34"/>
      <c r="B1871" s="34"/>
      <c r="C1871" s="34"/>
      <c r="D1871" s="34"/>
      <c r="E1871" s="34"/>
      <c r="F1871" s="34"/>
      <c r="G1871" s="34"/>
    </row>
    <row r="1872" spans="1:7" x14ac:dyDescent="0.3">
      <c r="A1872" s="34"/>
      <c r="B1872" s="34"/>
      <c r="C1872" s="34"/>
      <c r="D1872" s="34"/>
      <c r="E1872" s="34"/>
      <c r="F1872" s="34"/>
      <c r="G1872" s="34"/>
    </row>
    <row r="1873" spans="1:7" x14ac:dyDescent="0.3">
      <c r="A1873" s="34"/>
      <c r="B1873" s="34"/>
      <c r="C1873" s="34"/>
      <c r="D1873" s="34"/>
      <c r="E1873" s="34"/>
      <c r="F1873" s="34"/>
      <c r="G1873" s="34"/>
    </row>
    <row r="1874" spans="1:7" x14ac:dyDescent="0.3">
      <c r="A1874" s="34"/>
      <c r="B1874" s="34"/>
      <c r="C1874" s="34"/>
      <c r="D1874" s="34"/>
      <c r="E1874" s="34"/>
      <c r="F1874" s="34"/>
      <c r="G1874" s="34"/>
    </row>
    <row r="1875" spans="1:7" x14ac:dyDescent="0.3">
      <c r="A1875" s="34"/>
      <c r="B1875" s="34"/>
      <c r="C1875" s="34"/>
      <c r="D1875" s="34"/>
      <c r="E1875" s="34"/>
      <c r="F1875" s="34"/>
      <c r="G1875" s="34"/>
    </row>
    <row r="1876" spans="1:7" x14ac:dyDescent="0.3">
      <c r="A1876" s="34"/>
      <c r="B1876" s="34"/>
      <c r="C1876" s="34"/>
      <c r="D1876" s="34"/>
      <c r="E1876" s="34"/>
      <c r="F1876" s="34"/>
      <c r="G1876" s="34"/>
    </row>
    <row r="1877" spans="1:7" x14ac:dyDescent="0.3">
      <c r="A1877" s="34"/>
      <c r="B1877" s="34"/>
      <c r="C1877" s="34"/>
      <c r="D1877" s="34"/>
      <c r="E1877" s="34"/>
      <c r="F1877" s="34"/>
      <c r="G1877" s="34"/>
    </row>
    <row r="1878" spans="1:7" x14ac:dyDescent="0.3">
      <c r="A1878" s="34"/>
      <c r="B1878" s="34"/>
      <c r="C1878" s="34"/>
      <c r="D1878" s="34"/>
      <c r="E1878" s="34"/>
      <c r="F1878" s="34"/>
      <c r="G1878" s="34"/>
    </row>
    <row r="1879" spans="1:7" x14ac:dyDescent="0.3">
      <c r="A1879" s="34"/>
      <c r="B1879" s="34"/>
      <c r="C1879" s="34"/>
      <c r="D1879" s="34"/>
      <c r="E1879" s="34"/>
      <c r="F1879" s="34"/>
      <c r="G1879" s="34"/>
    </row>
    <row r="1880" spans="1:7" x14ac:dyDescent="0.3">
      <c r="A1880" s="34"/>
      <c r="B1880" s="34"/>
      <c r="C1880" s="34"/>
      <c r="D1880" s="34"/>
      <c r="E1880" s="34"/>
      <c r="F1880" s="34"/>
      <c r="G1880" s="34"/>
    </row>
    <row r="1881" spans="1:7" x14ac:dyDescent="0.3">
      <c r="A1881" s="34"/>
      <c r="B1881" s="34"/>
      <c r="C1881" s="34"/>
      <c r="D1881" s="34"/>
      <c r="E1881" s="34"/>
      <c r="F1881" s="34"/>
      <c r="G1881" s="34"/>
    </row>
    <row r="1882" spans="1:7" x14ac:dyDescent="0.3">
      <c r="A1882" s="34"/>
      <c r="B1882" s="34"/>
      <c r="C1882" s="34"/>
      <c r="D1882" s="34"/>
      <c r="E1882" s="34"/>
      <c r="F1882" s="34"/>
      <c r="G1882" s="34"/>
    </row>
    <row r="1883" spans="1:7" x14ac:dyDescent="0.3">
      <c r="A1883" s="34"/>
      <c r="B1883" s="34"/>
      <c r="C1883" s="34"/>
      <c r="D1883" s="34"/>
      <c r="E1883" s="34"/>
      <c r="F1883" s="34"/>
      <c r="G1883" s="34"/>
    </row>
    <row r="1884" spans="1:7" x14ac:dyDescent="0.3">
      <c r="A1884" s="34"/>
      <c r="B1884" s="34"/>
      <c r="C1884" s="34"/>
      <c r="D1884" s="34"/>
      <c r="E1884" s="34"/>
      <c r="F1884" s="34"/>
      <c r="G1884" s="34"/>
    </row>
    <row r="1885" spans="1:7" x14ac:dyDescent="0.3">
      <c r="A1885" s="34"/>
      <c r="B1885" s="34"/>
      <c r="C1885" s="34"/>
      <c r="D1885" s="34"/>
      <c r="E1885" s="34"/>
      <c r="F1885" s="34"/>
      <c r="G1885" s="34"/>
    </row>
    <row r="1886" spans="1:7" x14ac:dyDescent="0.3">
      <c r="A1886" s="34"/>
      <c r="B1886" s="34"/>
      <c r="C1886" s="34"/>
      <c r="D1886" s="34"/>
      <c r="E1886" s="34"/>
      <c r="F1886" s="34"/>
      <c r="G1886" s="34"/>
    </row>
    <row r="1887" spans="1:7" x14ac:dyDescent="0.3">
      <c r="A1887" s="34"/>
      <c r="B1887" s="34"/>
      <c r="C1887" s="34"/>
      <c r="D1887" s="34"/>
      <c r="E1887" s="34"/>
      <c r="F1887" s="34"/>
      <c r="G1887" s="34"/>
    </row>
    <row r="1888" spans="1:7" x14ac:dyDescent="0.3">
      <c r="A1888" s="34"/>
      <c r="B1888" s="34"/>
      <c r="C1888" s="34"/>
      <c r="D1888" s="34"/>
      <c r="E1888" s="34"/>
      <c r="F1888" s="34"/>
      <c r="G1888" s="34"/>
    </row>
    <row r="1889" spans="1:7" x14ac:dyDescent="0.3">
      <c r="A1889" s="34"/>
      <c r="B1889" s="34"/>
      <c r="C1889" s="34"/>
      <c r="D1889" s="34"/>
      <c r="E1889" s="34"/>
      <c r="F1889" s="34"/>
      <c r="G1889" s="34"/>
    </row>
    <row r="1890" spans="1:7" x14ac:dyDescent="0.3">
      <c r="A1890" s="34"/>
      <c r="B1890" s="34"/>
      <c r="C1890" s="34"/>
      <c r="D1890" s="34"/>
      <c r="E1890" s="34"/>
      <c r="F1890" s="34"/>
      <c r="G1890" s="34"/>
    </row>
    <row r="1891" spans="1:7" x14ac:dyDescent="0.3">
      <c r="A1891" s="34"/>
      <c r="B1891" s="34"/>
      <c r="C1891" s="34"/>
      <c r="D1891" s="34"/>
      <c r="E1891" s="34"/>
      <c r="F1891" s="34"/>
      <c r="G1891" s="34"/>
    </row>
    <row r="1892" spans="1:7" x14ac:dyDescent="0.3">
      <c r="A1892" s="34"/>
      <c r="B1892" s="34"/>
      <c r="C1892" s="34"/>
      <c r="D1892" s="34"/>
      <c r="E1892" s="34"/>
      <c r="F1892" s="34"/>
      <c r="G1892" s="34"/>
    </row>
    <row r="1893" spans="1:7" x14ac:dyDescent="0.3">
      <c r="A1893" s="34"/>
      <c r="B1893" s="34"/>
      <c r="C1893" s="34"/>
      <c r="D1893" s="34"/>
      <c r="E1893" s="34"/>
      <c r="F1893" s="34"/>
      <c r="G1893" s="34"/>
    </row>
    <row r="1894" spans="1:7" x14ac:dyDescent="0.3">
      <c r="A1894" s="34"/>
      <c r="B1894" s="34"/>
      <c r="C1894" s="34"/>
      <c r="D1894" s="34"/>
      <c r="E1894" s="34"/>
      <c r="F1894" s="34"/>
      <c r="G1894" s="34"/>
    </row>
    <row r="1895" spans="1:7" x14ac:dyDescent="0.3">
      <c r="A1895" s="34"/>
      <c r="B1895" s="34"/>
      <c r="C1895" s="34"/>
      <c r="D1895" s="34"/>
      <c r="E1895" s="34"/>
      <c r="F1895" s="34"/>
      <c r="G1895" s="34"/>
    </row>
    <row r="1896" spans="1:7" x14ac:dyDescent="0.3">
      <c r="A1896" s="34"/>
      <c r="B1896" s="34"/>
      <c r="C1896" s="34"/>
      <c r="D1896" s="34"/>
      <c r="E1896" s="34"/>
      <c r="F1896" s="34"/>
      <c r="G1896" s="34"/>
    </row>
    <row r="1897" spans="1:7" x14ac:dyDescent="0.3">
      <c r="A1897" s="34"/>
      <c r="B1897" s="34"/>
      <c r="C1897" s="34"/>
      <c r="D1897" s="34"/>
      <c r="E1897" s="34"/>
      <c r="F1897" s="34"/>
      <c r="G1897" s="34"/>
    </row>
    <row r="1898" spans="1:7" x14ac:dyDescent="0.3">
      <c r="A1898" s="34"/>
      <c r="B1898" s="34"/>
      <c r="C1898" s="34"/>
      <c r="D1898" s="34"/>
      <c r="E1898" s="34"/>
      <c r="F1898" s="34"/>
      <c r="G1898" s="34"/>
    </row>
    <row r="1899" spans="1:7" x14ac:dyDescent="0.3">
      <c r="A1899" s="34"/>
      <c r="B1899" s="34"/>
      <c r="C1899" s="34"/>
      <c r="D1899" s="34"/>
      <c r="E1899" s="34"/>
      <c r="F1899" s="34"/>
      <c r="G1899" s="34"/>
    </row>
    <row r="1900" spans="1:7" x14ac:dyDescent="0.3">
      <c r="A1900" s="34"/>
      <c r="B1900" s="34"/>
      <c r="C1900" s="34"/>
      <c r="D1900" s="34"/>
      <c r="E1900" s="34"/>
      <c r="F1900" s="34"/>
      <c r="G1900" s="34"/>
    </row>
    <row r="1901" spans="1:7" x14ac:dyDescent="0.3">
      <c r="A1901" s="34"/>
      <c r="B1901" s="34"/>
      <c r="C1901" s="34"/>
      <c r="D1901" s="34"/>
      <c r="E1901" s="34"/>
      <c r="F1901" s="34"/>
      <c r="G1901" s="34"/>
    </row>
    <row r="1902" spans="1:7" x14ac:dyDescent="0.3">
      <c r="A1902" s="34"/>
      <c r="B1902" s="34"/>
      <c r="C1902" s="34"/>
      <c r="D1902" s="34"/>
      <c r="E1902" s="34"/>
      <c r="F1902" s="34"/>
      <c r="G1902" s="34"/>
    </row>
    <row r="1903" spans="1:7" x14ac:dyDescent="0.3">
      <c r="A1903" s="34"/>
      <c r="B1903" s="34"/>
      <c r="C1903" s="34"/>
      <c r="D1903" s="34"/>
      <c r="E1903" s="34"/>
      <c r="F1903" s="34"/>
      <c r="G1903" s="34"/>
    </row>
    <row r="1904" spans="1:7" x14ac:dyDescent="0.3">
      <c r="A1904" s="34"/>
      <c r="B1904" s="34"/>
      <c r="C1904" s="34"/>
      <c r="D1904" s="34"/>
      <c r="E1904" s="34"/>
      <c r="F1904" s="34"/>
      <c r="G1904" s="34"/>
    </row>
    <row r="1905" spans="1:7" x14ac:dyDescent="0.3">
      <c r="A1905" s="34"/>
      <c r="B1905" s="34"/>
      <c r="C1905" s="34"/>
      <c r="D1905" s="34"/>
      <c r="E1905" s="34"/>
      <c r="F1905" s="34"/>
      <c r="G1905" s="34"/>
    </row>
    <row r="1906" spans="1:7" x14ac:dyDescent="0.3">
      <c r="A1906" s="34"/>
      <c r="B1906" s="34"/>
      <c r="C1906" s="34"/>
      <c r="D1906" s="34"/>
      <c r="E1906" s="34"/>
      <c r="F1906" s="34"/>
      <c r="G1906" s="34"/>
    </row>
    <row r="1907" spans="1:7" x14ac:dyDescent="0.3">
      <c r="A1907" s="34"/>
      <c r="B1907" s="34"/>
      <c r="C1907" s="34"/>
      <c r="D1907" s="34"/>
      <c r="E1907" s="34"/>
      <c r="F1907" s="34"/>
      <c r="G1907" s="34"/>
    </row>
    <row r="1908" spans="1:7" x14ac:dyDescent="0.3">
      <c r="A1908" s="34"/>
      <c r="B1908" s="34"/>
      <c r="C1908" s="34"/>
      <c r="D1908" s="34"/>
      <c r="E1908" s="34"/>
      <c r="F1908" s="34"/>
      <c r="G1908" s="34"/>
    </row>
    <row r="1909" spans="1:7" x14ac:dyDescent="0.3">
      <c r="A1909" s="34"/>
      <c r="B1909" s="34"/>
      <c r="C1909" s="34"/>
      <c r="D1909" s="34"/>
      <c r="E1909" s="34"/>
      <c r="F1909" s="34"/>
      <c r="G1909" s="34"/>
    </row>
    <row r="1910" spans="1:7" x14ac:dyDescent="0.3">
      <c r="A1910" s="34"/>
      <c r="B1910" s="34"/>
      <c r="C1910" s="34"/>
      <c r="D1910" s="34"/>
      <c r="E1910" s="34"/>
      <c r="F1910" s="34"/>
      <c r="G1910" s="34"/>
    </row>
    <row r="1911" spans="1:7" x14ac:dyDescent="0.3">
      <c r="A1911" s="34"/>
      <c r="B1911" s="34"/>
      <c r="C1911" s="34"/>
      <c r="D1911" s="34"/>
      <c r="E1911" s="34"/>
      <c r="F1911" s="34"/>
      <c r="G1911" s="34"/>
    </row>
    <row r="1912" spans="1:7" x14ac:dyDescent="0.3">
      <c r="A1912" s="34"/>
      <c r="B1912" s="34"/>
      <c r="C1912" s="34"/>
      <c r="D1912" s="34"/>
      <c r="E1912" s="34"/>
      <c r="F1912" s="34"/>
      <c r="G1912" s="34"/>
    </row>
    <row r="1913" spans="1:7" x14ac:dyDescent="0.3">
      <c r="A1913" s="34"/>
      <c r="B1913" s="34"/>
      <c r="C1913" s="34"/>
      <c r="D1913" s="34"/>
      <c r="E1913" s="34"/>
      <c r="F1913" s="34"/>
      <c r="G1913" s="34"/>
    </row>
    <row r="1914" spans="1:7" x14ac:dyDescent="0.3">
      <c r="A1914" s="34"/>
      <c r="B1914" s="34"/>
      <c r="C1914" s="34"/>
      <c r="D1914" s="34"/>
      <c r="E1914" s="34"/>
      <c r="F1914" s="34"/>
      <c r="G1914" s="34"/>
    </row>
    <row r="1915" spans="1:7" x14ac:dyDescent="0.3">
      <c r="A1915" s="34"/>
      <c r="B1915" s="34"/>
      <c r="C1915" s="34"/>
      <c r="D1915" s="34"/>
      <c r="E1915" s="34"/>
      <c r="F1915" s="34"/>
      <c r="G1915" s="34"/>
    </row>
    <row r="1916" spans="1:7" x14ac:dyDescent="0.3">
      <c r="A1916" s="34"/>
      <c r="B1916" s="34"/>
      <c r="C1916" s="34"/>
      <c r="D1916" s="34"/>
      <c r="E1916" s="34"/>
      <c r="F1916" s="34"/>
      <c r="G1916" s="34"/>
    </row>
    <row r="1917" spans="1:7" x14ac:dyDescent="0.3">
      <c r="A1917" s="34"/>
      <c r="B1917" s="34"/>
      <c r="C1917" s="34"/>
      <c r="D1917" s="34"/>
      <c r="E1917" s="34"/>
      <c r="F1917" s="34"/>
      <c r="G1917" s="34"/>
    </row>
    <row r="1918" spans="1:7" x14ac:dyDescent="0.3">
      <c r="A1918" s="34"/>
      <c r="B1918" s="34"/>
      <c r="C1918" s="34"/>
      <c r="D1918" s="34"/>
      <c r="E1918" s="34"/>
      <c r="F1918" s="34"/>
      <c r="G1918" s="34"/>
    </row>
    <row r="1919" spans="1:7" x14ac:dyDescent="0.3">
      <c r="A1919" s="34"/>
      <c r="B1919" s="34"/>
      <c r="C1919" s="34"/>
      <c r="D1919" s="34"/>
      <c r="E1919" s="34"/>
      <c r="F1919" s="34"/>
      <c r="G1919" s="34"/>
    </row>
    <row r="1920" spans="1:7" x14ac:dyDescent="0.3">
      <c r="A1920" s="34"/>
      <c r="B1920" s="34"/>
      <c r="C1920" s="34"/>
      <c r="D1920" s="34"/>
      <c r="E1920" s="34"/>
      <c r="F1920" s="34"/>
      <c r="G1920" s="34"/>
    </row>
    <row r="1921" spans="1:7" x14ac:dyDescent="0.3">
      <c r="A1921" s="34"/>
      <c r="B1921" s="34"/>
      <c r="C1921" s="34"/>
      <c r="D1921" s="34"/>
      <c r="E1921" s="34"/>
      <c r="F1921" s="34"/>
      <c r="G1921" s="34"/>
    </row>
    <row r="1922" spans="1:7" x14ac:dyDescent="0.3">
      <c r="A1922" s="34"/>
      <c r="B1922" s="34"/>
      <c r="C1922" s="34"/>
      <c r="D1922" s="34"/>
      <c r="E1922" s="34"/>
      <c r="F1922" s="34"/>
      <c r="G1922" s="34"/>
    </row>
    <row r="1923" spans="1:7" x14ac:dyDescent="0.3">
      <c r="A1923" s="34"/>
      <c r="B1923" s="34"/>
      <c r="C1923" s="34"/>
      <c r="D1923" s="34"/>
      <c r="E1923" s="34"/>
      <c r="F1923" s="34"/>
      <c r="G1923" s="34"/>
    </row>
    <row r="1924" spans="1:7" x14ac:dyDescent="0.3">
      <c r="A1924" s="34"/>
      <c r="B1924" s="34"/>
      <c r="C1924" s="34"/>
      <c r="D1924" s="34"/>
      <c r="E1924" s="34"/>
      <c r="F1924" s="34"/>
      <c r="G1924" s="34"/>
    </row>
    <row r="1925" spans="1:7" x14ac:dyDescent="0.3">
      <c r="A1925" s="34"/>
      <c r="B1925" s="34"/>
      <c r="C1925" s="34"/>
      <c r="D1925" s="34"/>
      <c r="E1925" s="34"/>
      <c r="F1925" s="34"/>
      <c r="G1925" s="34"/>
    </row>
    <row r="1926" spans="1:7" x14ac:dyDescent="0.3">
      <c r="A1926" s="34"/>
      <c r="B1926" s="34"/>
      <c r="C1926" s="34"/>
      <c r="D1926" s="34"/>
      <c r="E1926" s="34"/>
      <c r="F1926" s="34"/>
      <c r="G1926" s="34"/>
    </row>
    <row r="1927" spans="1:7" x14ac:dyDescent="0.3">
      <c r="A1927" s="34"/>
      <c r="B1927" s="34"/>
      <c r="C1927" s="34"/>
      <c r="D1927" s="34"/>
      <c r="E1927" s="34"/>
      <c r="F1927" s="34"/>
      <c r="G1927" s="34"/>
    </row>
    <row r="1928" spans="1:7" x14ac:dyDescent="0.3">
      <c r="A1928" s="34"/>
      <c r="B1928" s="34"/>
      <c r="C1928" s="34"/>
      <c r="D1928" s="34"/>
      <c r="E1928" s="34"/>
      <c r="F1928" s="34"/>
      <c r="G1928" s="34"/>
    </row>
    <row r="1929" spans="1:7" x14ac:dyDescent="0.3">
      <c r="A1929" s="34"/>
      <c r="B1929" s="34"/>
      <c r="C1929" s="34"/>
      <c r="D1929" s="34"/>
      <c r="E1929" s="34"/>
      <c r="F1929" s="34"/>
      <c r="G1929" s="34"/>
    </row>
    <row r="1930" spans="1:7" x14ac:dyDescent="0.3">
      <c r="A1930" s="34"/>
      <c r="B1930" s="34"/>
      <c r="C1930" s="34"/>
      <c r="D1930" s="34"/>
      <c r="E1930" s="34"/>
      <c r="F1930" s="34"/>
      <c r="G1930" s="34"/>
    </row>
    <row r="1931" spans="1:7" x14ac:dyDescent="0.3">
      <c r="A1931" s="34"/>
      <c r="B1931" s="34"/>
      <c r="C1931" s="34"/>
      <c r="D1931" s="34"/>
      <c r="E1931" s="34"/>
      <c r="F1931" s="34"/>
      <c r="G1931" s="34"/>
    </row>
    <row r="1932" spans="1:7" x14ac:dyDescent="0.3">
      <c r="A1932" s="34"/>
      <c r="B1932" s="34"/>
      <c r="C1932" s="34"/>
      <c r="D1932" s="34"/>
      <c r="E1932" s="34"/>
      <c r="F1932" s="34"/>
      <c r="G1932" s="34"/>
    </row>
    <row r="1933" spans="1:7" x14ac:dyDescent="0.3">
      <c r="A1933" s="34"/>
      <c r="B1933" s="34"/>
      <c r="C1933" s="34"/>
      <c r="D1933" s="34"/>
      <c r="E1933" s="34"/>
      <c r="F1933" s="34"/>
      <c r="G1933" s="34"/>
    </row>
    <row r="1934" spans="1:7" x14ac:dyDescent="0.3">
      <c r="A1934" s="34"/>
      <c r="B1934" s="34"/>
      <c r="C1934" s="34"/>
      <c r="D1934" s="34"/>
      <c r="E1934" s="34"/>
      <c r="F1934" s="34"/>
      <c r="G1934" s="34"/>
    </row>
    <row r="1935" spans="1:7" x14ac:dyDescent="0.3">
      <c r="A1935" s="34"/>
      <c r="B1935" s="34"/>
      <c r="C1935" s="34"/>
      <c r="D1935" s="34"/>
      <c r="E1935" s="34"/>
      <c r="F1935" s="34"/>
      <c r="G1935" s="34"/>
    </row>
    <row r="1936" spans="1:7" x14ac:dyDescent="0.3">
      <c r="A1936" s="34"/>
      <c r="B1936" s="34"/>
      <c r="C1936" s="34"/>
      <c r="D1936" s="34"/>
      <c r="E1936" s="34"/>
      <c r="F1936" s="34"/>
      <c r="G1936" s="34"/>
    </row>
    <row r="1937" spans="1:7" x14ac:dyDescent="0.3">
      <c r="A1937" s="34"/>
      <c r="B1937" s="34"/>
      <c r="C1937" s="34"/>
      <c r="D1937" s="34"/>
      <c r="E1937" s="34"/>
      <c r="F1937" s="34"/>
      <c r="G1937" s="34"/>
    </row>
    <row r="1938" spans="1:7" x14ac:dyDescent="0.3">
      <c r="A1938" s="34"/>
      <c r="B1938" s="34"/>
      <c r="C1938" s="34"/>
      <c r="D1938" s="34"/>
      <c r="E1938" s="34"/>
      <c r="F1938" s="34"/>
      <c r="G1938" s="34"/>
    </row>
    <row r="1939" spans="1:7" x14ac:dyDescent="0.3">
      <c r="A1939" s="34"/>
      <c r="B1939" s="34"/>
      <c r="C1939" s="34"/>
      <c r="D1939" s="34"/>
      <c r="E1939" s="34"/>
      <c r="F1939" s="34"/>
      <c r="G1939" s="34"/>
    </row>
    <row r="1940" spans="1:7" x14ac:dyDescent="0.3">
      <c r="A1940" s="34"/>
      <c r="B1940" s="34"/>
      <c r="C1940" s="34"/>
      <c r="D1940" s="34"/>
      <c r="E1940" s="34"/>
      <c r="F1940" s="34"/>
      <c r="G1940" s="34"/>
    </row>
    <row r="1941" spans="1:7" x14ac:dyDescent="0.3">
      <c r="A1941" s="34"/>
      <c r="B1941" s="34"/>
      <c r="C1941" s="34"/>
      <c r="D1941" s="34"/>
      <c r="E1941" s="34"/>
      <c r="F1941" s="34"/>
      <c r="G1941" s="34"/>
    </row>
    <row r="1942" spans="1:7" x14ac:dyDescent="0.3">
      <c r="A1942" s="34"/>
      <c r="B1942" s="34"/>
      <c r="C1942" s="34"/>
      <c r="D1942" s="34"/>
      <c r="E1942" s="34"/>
      <c r="F1942" s="34"/>
      <c r="G1942" s="34"/>
    </row>
    <row r="1943" spans="1:7" x14ac:dyDescent="0.3">
      <c r="A1943" s="34"/>
      <c r="B1943" s="34"/>
      <c r="C1943" s="34"/>
      <c r="D1943" s="34"/>
      <c r="E1943" s="34"/>
      <c r="F1943" s="34"/>
      <c r="G1943" s="34"/>
    </row>
    <row r="1944" spans="1:7" x14ac:dyDescent="0.3">
      <c r="A1944" s="34"/>
      <c r="B1944" s="34"/>
      <c r="C1944" s="34"/>
      <c r="D1944" s="34"/>
      <c r="E1944" s="34"/>
      <c r="F1944" s="34"/>
      <c r="G1944" s="34"/>
    </row>
    <row r="1945" spans="1:7" x14ac:dyDescent="0.3">
      <c r="A1945" s="34"/>
      <c r="B1945" s="34"/>
      <c r="C1945" s="34"/>
      <c r="D1945" s="34"/>
      <c r="E1945" s="34"/>
      <c r="F1945" s="34"/>
      <c r="G1945" s="34"/>
    </row>
    <row r="1946" spans="1:7" x14ac:dyDescent="0.3">
      <c r="A1946" s="34"/>
      <c r="B1946" s="34"/>
      <c r="C1946" s="34"/>
      <c r="D1946" s="34"/>
      <c r="E1946" s="34"/>
      <c r="F1946" s="34"/>
      <c r="G1946" s="34"/>
    </row>
    <row r="1947" spans="1:7" x14ac:dyDescent="0.3">
      <c r="A1947" s="34"/>
      <c r="B1947" s="34"/>
      <c r="C1947" s="34"/>
      <c r="D1947" s="34"/>
      <c r="E1947" s="34"/>
      <c r="F1947" s="34"/>
      <c r="G1947" s="34"/>
    </row>
    <row r="1948" spans="1:7" x14ac:dyDescent="0.3">
      <c r="A1948" s="34"/>
      <c r="B1948" s="34"/>
      <c r="C1948" s="34"/>
      <c r="D1948" s="34"/>
      <c r="E1948" s="34"/>
      <c r="F1948" s="34"/>
      <c r="G1948" s="34"/>
    </row>
    <row r="1949" spans="1:7" x14ac:dyDescent="0.3">
      <c r="A1949" s="34"/>
      <c r="B1949" s="34"/>
      <c r="C1949" s="34"/>
      <c r="D1949" s="34"/>
      <c r="E1949" s="34"/>
      <c r="F1949" s="34"/>
      <c r="G1949" s="34"/>
    </row>
    <row r="1950" spans="1:7" x14ac:dyDescent="0.3">
      <c r="A1950" s="34"/>
      <c r="B1950" s="34"/>
      <c r="C1950" s="34"/>
      <c r="D1950" s="34"/>
      <c r="E1950" s="34"/>
      <c r="F1950" s="34"/>
      <c r="G1950" s="34"/>
    </row>
    <row r="1951" spans="1:7" x14ac:dyDescent="0.3">
      <c r="A1951" s="34"/>
      <c r="B1951" s="34"/>
      <c r="C1951" s="34"/>
      <c r="D1951" s="34"/>
      <c r="E1951" s="34"/>
      <c r="F1951" s="34"/>
      <c r="G1951" s="34"/>
    </row>
    <row r="1952" spans="1:7" x14ac:dyDescent="0.3">
      <c r="A1952" s="34"/>
      <c r="B1952" s="34"/>
      <c r="C1952" s="34"/>
      <c r="D1952" s="34"/>
      <c r="E1952" s="34"/>
      <c r="F1952" s="34"/>
      <c r="G1952" s="34"/>
    </row>
    <row r="1953" spans="1:7" x14ac:dyDescent="0.3">
      <c r="A1953" s="34"/>
      <c r="B1953" s="34"/>
      <c r="C1953" s="34"/>
      <c r="D1953" s="34"/>
      <c r="E1953" s="34"/>
      <c r="F1953" s="34"/>
      <c r="G1953" s="34"/>
    </row>
    <row r="1954" spans="1:7" x14ac:dyDescent="0.3">
      <c r="A1954" s="34"/>
      <c r="B1954" s="34"/>
      <c r="C1954" s="34"/>
      <c r="D1954" s="34"/>
      <c r="E1954" s="34"/>
      <c r="F1954" s="34"/>
      <c r="G1954" s="34"/>
    </row>
    <row r="1955" spans="1:7" x14ac:dyDescent="0.3">
      <c r="A1955" s="34"/>
      <c r="B1955" s="34"/>
      <c r="C1955" s="34"/>
      <c r="D1955" s="34"/>
      <c r="E1955" s="34"/>
      <c r="F1955" s="34"/>
      <c r="G1955" s="34"/>
    </row>
    <row r="1956" spans="1:7" x14ac:dyDescent="0.3">
      <c r="A1956" s="34"/>
      <c r="B1956" s="34"/>
      <c r="C1956" s="34"/>
      <c r="D1956" s="34"/>
      <c r="E1956" s="34"/>
      <c r="F1956" s="34"/>
      <c r="G1956" s="34"/>
    </row>
    <row r="1957" spans="1:7" x14ac:dyDescent="0.3">
      <c r="A1957" s="34"/>
      <c r="B1957" s="34"/>
      <c r="C1957" s="34"/>
      <c r="D1957" s="34"/>
      <c r="E1957" s="34"/>
      <c r="F1957" s="34"/>
      <c r="G1957" s="34"/>
    </row>
    <row r="1958" spans="1:7" x14ac:dyDescent="0.3">
      <c r="A1958" s="34"/>
      <c r="B1958" s="34"/>
      <c r="C1958" s="34"/>
      <c r="D1958" s="34"/>
      <c r="E1958" s="34"/>
      <c r="F1958" s="34"/>
      <c r="G1958" s="34"/>
    </row>
    <row r="1959" spans="1:7" x14ac:dyDescent="0.3">
      <c r="A1959" s="34"/>
      <c r="B1959" s="34"/>
      <c r="C1959" s="34"/>
      <c r="D1959" s="34"/>
      <c r="E1959" s="34"/>
      <c r="F1959" s="34"/>
      <c r="G1959" s="34"/>
    </row>
    <row r="1960" spans="1:7" x14ac:dyDescent="0.3">
      <c r="A1960" s="34"/>
      <c r="B1960" s="34"/>
      <c r="C1960" s="34"/>
      <c r="D1960" s="34"/>
      <c r="E1960" s="34"/>
      <c r="F1960" s="34"/>
      <c r="G1960" s="34"/>
    </row>
    <row r="1961" spans="1:7" x14ac:dyDescent="0.3">
      <c r="A1961" s="34"/>
      <c r="B1961" s="34"/>
      <c r="C1961" s="34"/>
      <c r="D1961" s="34"/>
      <c r="E1961" s="34"/>
      <c r="F1961" s="34"/>
      <c r="G1961" s="34"/>
    </row>
    <row r="1962" spans="1:7" x14ac:dyDescent="0.3">
      <c r="A1962" s="34"/>
      <c r="B1962" s="34"/>
      <c r="C1962" s="34"/>
      <c r="D1962" s="34"/>
      <c r="E1962" s="34"/>
      <c r="F1962" s="34"/>
      <c r="G1962" s="34"/>
    </row>
    <row r="1963" spans="1:7" x14ac:dyDescent="0.3">
      <c r="A1963" s="34"/>
      <c r="B1963" s="34"/>
      <c r="C1963" s="34"/>
      <c r="D1963" s="34"/>
      <c r="E1963" s="34"/>
      <c r="F1963" s="34"/>
      <c r="G1963" s="34"/>
    </row>
    <row r="1964" spans="1:7" x14ac:dyDescent="0.3">
      <c r="A1964" s="34"/>
      <c r="B1964" s="34"/>
      <c r="C1964" s="34"/>
      <c r="D1964" s="34"/>
      <c r="E1964" s="34"/>
      <c r="F1964" s="34"/>
      <c r="G1964" s="34"/>
    </row>
    <row r="1965" spans="1:7" x14ac:dyDescent="0.3">
      <c r="A1965" s="34"/>
      <c r="B1965" s="34"/>
      <c r="C1965" s="34"/>
      <c r="D1965" s="34"/>
      <c r="E1965" s="34"/>
      <c r="F1965" s="34"/>
      <c r="G1965" s="34"/>
    </row>
    <row r="1966" spans="1:7" x14ac:dyDescent="0.3">
      <c r="A1966" s="34"/>
      <c r="B1966" s="34"/>
      <c r="C1966" s="34"/>
      <c r="D1966" s="34"/>
      <c r="E1966" s="34"/>
      <c r="F1966" s="34"/>
      <c r="G1966" s="34"/>
    </row>
    <row r="1967" spans="1:7" x14ac:dyDescent="0.3">
      <c r="A1967" s="34"/>
      <c r="B1967" s="34"/>
      <c r="C1967" s="34"/>
      <c r="D1967" s="34"/>
      <c r="E1967" s="34"/>
      <c r="F1967" s="34"/>
      <c r="G1967" s="34"/>
    </row>
    <row r="1968" spans="1:7" x14ac:dyDescent="0.3">
      <c r="A1968" s="34"/>
      <c r="B1968" s="34"/>
      <c r="C1968" s="34"/>
      <c r="D1968" s="34"/>
      <c r="E1968" s="34"/>
      <c r="F1968" s="34"/>
      <c r="G1968" s="34"/>
    </row>
    <row r="1969" spans="1:7" x14ac:dyDescent="0.3">
      <c r="A1969" s="34"/>
      <c r="B1969" s="34"/>
      <c r="C1969" s="34"/>
      <c r="D1969" s="34"/>
      <c r="E1969" s="34"/>
      <c r="F1969" s="34"/>
      <c r="G1969" s="34"/>
    </row>
    <row r="1970" spans="1:7" x14ac:dyDescent="0.3">
      <c r="A1970" s="34"/>
      <c r="B1970" s="34"/>
      <c r="C1970" s="34"/>
      <c r="D1970" s="34"/>
      <c r="E1970" s="34"/>
      <c r="F1970" s="34"/>
      <c r="G1970" s="34"/>
    </row>
    <row r="1971" spans="1:7" x14ac:dyDescent="0.3">
      <c r="A1971" s="34"/>
      <c r="B1971" s="34"/>
      <c r="C1971" s="34"/>
      <c r="D1971" s="34"/>
      <c r="E1971" s="34"/>
      <c r="F1971" s="34"/>
      <c r="G1971" s="34"/>
    </row>
    <row r="1972" spans="1:7" x14ac:dyDescent="0.3">
      <c r="A1972" s="34"/>
      <c r="B1972" s="34"/>
      <c r="C1972" s="34"/>
      <c r="D1972" s="34"/>
      <c r="E1972" s="34"/>
      <c r="F1972" s="34"/>
      <c r="G1972" s="34"/>
    </row>
    <row r="1973" spans="1:7" x14ac:dyDescent="0.3">
      <c r="A1973" s="34"/>
      <c r="B1973" s="34"/>
      <c r="C1973" s="34"/>
      <c r="D1973" s="34"/>
      <c r="E1973" s="34"/>
      <c r="F1973" s="34"/>
      <c r="G1973" s="34"/>
    </row>
    <row r="1974" spans="1:7" x14ac:dyDescent="0.3">
      <c r="A1974" s="34"/>
      <c r="B1974" s="34"/>
      <c r="C1974" s="34"/>
      <c r="D1974" s="34"/>
      <c r="E1974" s="34"/>
      <c r="F1974" s="34"/>
      <c r="G1974" s="34"/>
    </row>
    <row r="1975" spans="1:7" x14ac:dyDescent="0.3">
      <c r="A1975" s="34"/>
      <c r="B1975" s="34"/>
      <c r="C1975" s="34"/>
      <c r="D1975" s="34"/>
      <c r="E1975" s="34"/>
      <c r="F1975" s="34"/>
      <c r="G1975" s="34"/>
    </row>
    <row r="1976" spans="1:7" x14ac:dyDescent="0.3">
      <c r="A1976" s="34"/>
      <c r="B1976" s="34"/>
      <c r="C1976" s="34"/>
      <c r="D1976" s="34"/>
      <c r="E1976" s="34"/>
      <c r="F1976" s="34"/>
      <c r="G1976" s="34"/>
    </row>
    <row r="1977" spans="1:7" x14ac:dyDescent="0.3">
      <c r="A1977" s="34"/>
      <c r="B1977" s="34"/>
      <c r="C1977" s="34"/>
      <c r="D1977" s="34"/>
      <c r="E1977" s="34"/>
      <c r="F1977" s="34"/>
      <c r="G1977" s="34"/>
    </row>
    <row r="1978" spans="1:7" x14ac:dyDescent="0.3">
      <c r="A1978" s="34"/>
      <c r="B1978" s="34"/>
      <c r="C1978" s="34"/>
      <c r="D1978" s="34"/>
      <c r="E1978" s="34"/>
      <c r="F1978" s="34"/>
      <c r="G1978" s="34"/>
    </row>
    <row r="1979" spans="1:7" x14ac:dyDescent="0.3">
      <c r="A1979" s="34"/>
      <c r="B1979" s="34"/>
      <c r="C1979" s="34"/>
      <c r="D1979" s="34"/>
      <c r="E1979" s="34"/>
      <c r="F1979" s="34"/>
      <c r="G1979" s="34"/>
    </row>
    <row r="1980" spans="1:7" x14ac:dyDescent="0.3">
      <c r="A1980" s="34"/>
      <c r="B1980" s="34"/>
      <c r="C1980" s="34"/>
      <c r="D1980" s="34"/>
      <c r="E1980" s="34"/>
      <c r="F1980" s="34"/>
      <c r="G1980" s="34"/>
    </row>
    <row r="1981" spans="1:7" x14ac:dyDescent="0.3">
      <c r="A1981" s="34"/>
      <c r="B1981" s="34"/>
      <c r="C1981" s="34"/>
      <c r="D1981" s="34"/>
      <c r="E1981" s="34"/>
      <c r="F1981" s="34"/>
      <c r="G1981" s="34"/>
    </row>
    <row r="1982" spans="1:7" x14ac:dyDescent="0.3">
      <c r="A1982" s="34"/>
      <c r="B1982" s="34"/>
      <c r="C1982" s="34"/>
      <c r="D1982" s="34"/>
      <c r="E1982" s="34"/>
      <c r="F1982" s="34"/>
      <c r="G1982" s="34"/>
    </row>
    <row r="1983" spans="1:7" x14ac:dyDescent="0.3">
      <c r="A1983" s="34"/>
      <c r="B1983" s="34"/>
      <c r="C1983" s="34"/>
      <c r="D1983" s="34"/>
      <c r="E1983" s="34"/>
      <c r="F1983" s="34"/>
      <c r="G1983" s="34"/>
    </row>
    <row r="1984" spans="1:7" x14ac:dyDescent="0.3">
      <c r="A1984" s="34"/>
      <c r="B1984" s="34"/>
      <c r="C1984" s="34"/>
      <c r="D1984" s="34"/>
      <c r="E1984" s="34"/>
      <c r="F1984" s="34"/>
      <c r="G1984" s="34"/>
    </row>
    <row r="1985" spans="1:7" x14ac:dyDescent="0.3">
      <c r="A1985" s="34"/>
      <c r="B1985" s="34"/>
      <c r="C1985" s="34"/>
      <c r="D1985" s="34"/>
      <c r="E1985" s="34"/>
      <c r="F1985" s="34"/>
      <c r="G1985" s="34"/>
    </row>
    <row r="1986" spans="1:7" x14ac:dyDescent="0.3">
      <c r="A1986" s="34"/>
      <c r="B1986" s="34"/>
      <c r="C1986" s="34"/>
      <c r="D1986" s="34"/>
      <c r="E1986" s="34"/>
      <c r="F1986" s="34"/>
      <c r="G1986" s="34"/>
    </row>
    <row r="1987" spans="1:7" x14ac:dyDescent="0.3">
      <c r="A1987" s="34"/>
      <c r="B1987" s="34"/>
      <c r="C1987" s="34"/>
      <c r="D1987" s="34"/>
      <c r="E1987" s="34"/>
      <c r="F1987" s="34"/>
      <c r="G1987" s="34"/>
    </row>
    <row r="1988" spans="1:7" x14ac:dyDescent="0.3">
      <c r="A1988" s="34"/>
      <c r="B1988" s="34"/>
      <c r="C1988" s="34"/>
      <c r="D1988" s="34"/>
      <c r="E1988" s="34"/>
      <c r="F1988" s="34"/>
      <c r="G1988" s="34"/>
    </row>
    <row r="1989" spans="1:7" x14ac:dyDescent="0.3">
      <c r="A1989" s="34"/>
      <c r="B1989" s="34"/>
      <c r="C1989" s="34"/>
      <c r="D1989" s="34"/>
      <c r="E1989" s="34"/>
      <c r="F1989" s="34"/>
      <c r="G1989" s="34"/>
    </row>
    <row r="1990" spans="1:7" x14ac:dyDescent="0.3">
      <c r="A1990" s="34"/>
      <c r="B1990" s="34"/>
      <c r="C1990" s="34"/>
      <c r="D1990" s="34"/>
      <c r="E1990" s="34"/>
      <c r="F1990" s="34"/>
      <c r="G1990" s="34"/>
    </row>
    <row r="1991" spans="1:7" x14ac:dyDescent="0.3">
      <c r="A1991" s="34"/>
      <c r="B1991" s="34"/>
      <c r="C1991" s="34"/>
      <c r="D1991" s="34"/>
      <c r="E1991" s="34"/>
      <c r="F1991" s="34"/>
      <c r="G1991" s="34"/>
    </row>
    <row r="1992" spans="1:7" x14ac:dyDescent="0.3">
      <c r="A1992" s="34"/>
      <c r="B1992" s="34"/>
      <c r="C1992" s="34"/>
      <c r="D1992" s="34"/>
      <c r="E1992" s="34"/>
      <c r="F1992" s="34"/>
      <c r="G1992" s="34"/>
    </row>
    <row r="1993" spans="1:7" x14ac:dyDescent="0.3">
      <c r="A1993" s="34"/>
      <c r="B1993" s="34"/>
      <c r="C1993" s="34"/>
      <c r="D1993" s="34"/>
      <c r="E1993" s="34"/>
      <c r="F1993" s="34"/>
      <c r="G1993" s="34"/>
    </row>
    <row r="1994" spans="1:7" x14ac:dyDescent="0.3">
      <c r="A1994" s="34"/>
      <c r="B1994" s="34"/>
      <c r="C1994" s="34"/>
      <c r="D1994" s="34"/>
      <c r="E1994" s="34"/>
      <c r="F1994" s="34"/>
      <c r="G1994" s="34"/>
    </row>
    <row r="1995" spans="1:7" x14ac:dyDescent="0.3">
      <c r="A1995" s="34"/>
      <c r="B1995" s="34"/>
      <c r="C1995" s="34"/>
      <c r="D1995" s="34"/>
      <c r="E1995" s="34"/>
      <c r="F1995" s="34"/>
      <c r="G1995" s="34"/>
    </row>
    <row r="1996" spans="1:7" x14ac:dyDescent="0.3">
      <c r="A1996" s="34"/>
      <c r="B1996" s="34"/>
      <c r="C1996" s="34"/>
      <c r="D1996" s="34"/>
      <c r="E1996" s="34"/>
      <c r="F1996" s="34"/>
      <c r="G1996" s="34"/>
    </row>
    <row r="1997" spans="1:7" x14ac:dyDescent="0.3">
      <c r="A1997" s="34"/>
      <c r="B1997" s="34"/>
      <c r="C1997" s="34"/>
      <c r="D1997" s="34"/>
      <c r="E1997" s="34"/>
      <c r="F1997" s="34"/>
      <c r="G1997" s="34"/>
    </row>
    <row r="1998" spans="1:7" x14ac:dyDescent="0.3">
      <c r="A1998" s="34"/>
      <c r="B1998" s="34"/>
      <c r="C1998" s="34"/>
      <c r="D1998" s="34"/>
      <c r="E1998" s="34"/>
      <c r="F1998" s="34"/>
      <c r="G1998" s="34"/>
    </row>
    <row r="1999" spans="1:7" x14ac:dyDescent="0.3">
      <c r="A1999" s="34"/>
      <c r="B1999" s="34"/>
      <c r="C1999" s="34"/>
      <c r="D1999" s="34"/>
      <c r="E1999" s="34"/>
      <c r="F1999" s="34"/>
      <c r="G1999" s="34"/>
    </row>
    <row r="2000" spans="1:7" x14ac:dyDescent="0.3">
      <c r="A2000" s="34"/>
      <c r="B2000" s="34"/>
      <c r="C2000" s="34"/>
      <c r="D2000" s="34"/>
      <c r="E2000" s="34"/>
      <c r="F2000" s="34"/>
      <c r="G2000" s="34"/>
    </row>
    <row r="2001" spans="1:8" x14ac:dyDescent="0.3">
      <c r="A2001" s="34"/>
      <c r="B2001" s="34"/>
      <c r="C2001" s="34"/>
      <c r="D2001" s="34"/>
      <c r="E2001" s="34"/>
      <c r="F2001" s="34"/>
      <c r="G2001" s="34"/>
      <c r="H2001" s="31"/>
    </row>
  </sheetData>
  <phoneticPr fontId="6" type="noConversion"/>
  <conditionalFormatting sqref="G1:G1048576">
    <cfRule type="colorScale" priority="5">
      <colorScale>
        <cfvo type="min"/>
        <cfvo type="percentile" val="50"/>
        <cfvo type="max"/>
        <color rgb="FFF8696B"/>
        <color rgb="FFFFEB84"/>
        <color rgb="FF63BE7B"/>
      </colorScale>
    </cfRule>
  </conditionalFormatting>
  <conditionalFormatting sqref="H1:H1048576">
    <cfRule type="colorScale" priority="1">
      <colorScale>
        <cfvo type="min"/>
        <cfvo type="percentile" val="50"/>
        <cfvo type="max"/>
        <color rgb="FF63BE7B"/>
        <color rgb="FFFFEB84"/>
        <color rgb="FFF8696B"/>
      </colorScale>
    </cfRule>
  </conditionalFormatting>
  <conditionalFormatting sqref="I1:I1048576">
    <cfRule type="colorScale" priority="3">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12DF-716A-43F8-A2E0-89E65F91CD06}">
  <dimension ref="A1:H26"/>
  <sheetViews>
    <sheetView workbookViewId="0">
      <selection activeCell="H21" sqref="H21"/>
    </sheetView>
  </sheetViews>
  <sheetFormatPr defaultRowHeight="14.4" x14ac:dyDescent="0.3"/>
  <cols>
    <col min="1" max="1" width="12.44140625" bestFit="1" customWidth="1"/>
    <col min="2" max="2" width="20.109375" bestFit="1" customWidth="1"/>
    <col min="3" max="3" width="12" bestFit="1" customWidth="1"/>
    <col min="4" max="4" width="19" bestFit="1" customWidth="1"/>
    <col min="5" max="5" width="24" bestFit="1" customWidth="1"/>
    <col min="7" max="7" width="12.44140625" bestFit="1" customWidth="1"/>
    <col min="8" max="8" width="40.44140625" bestFit="1" customWidth="1"/>
  </cols>
  <sheetData>
    <row r="1" spans="1:8" ht="15.6" x14ac:dyDescent="0.3">
      <c r="A1" s="32" t="s">
        <v>440</v>
      </c>
      <c r="B1" t="s">
        <v>447</v>
      </c>
      <c r="D1" s="47" t="s">
        <v>440</v>
      </c>
      <c r="E1" s="48" t="s">
        <v>454</v>
      </c>
      <c r="G1" s="32" t="s">
        <v>440</v>
      </c>
      <c r="H1" t="s">
        <v>455</v>
      </c>
    </row>
    <row r="2" spans="1:8" ht="16.2" thickBot="1" x14ac:dyDescent="0.35">
      <c r="A2" s="36" t="s">
        <v>442</v>
      </c>
      <c r="B2" s="46">
        <v>2613289.1414627</v>
      </c>
      <c r="D2" s="48" t="s">
        <v>30</v>
      </c>
      <c r="E2" s="49">
        <v>30.813932622336811</v>
      </c>
      <c r="G2" s="33" t="s">
        <v>413</v>
      </c>
      <c r="H2" s="45">
        <v>962.92</v>
      </c>
    </row>
    <row r="3" spans="1:8" ht="16.2" thickBot="1" x14ac:dyDescent="0.35">
      <c r="A3" s="38" t="s">
        <v>444</v>
      </c>
      <c r="B3" s="46">
        <v>1256202.8636469</v>
      </c>
      <c r="D3" s="48" t="s">
        <v>7</v>
      </c>
      <c r="E3" s="49">
        <v>38.282547212845543</v>
      </c>
      <c r="G3" s="33" t="s">
        <v>411</v>
      </c>
      <c r="H3" s="45">
        <v>991.36</v>
      </c>
    </row>
    <row r="4" spans="1:8" ht="16.2" thickBot="1" x14ac:dyDescent="0.35">
      <c r="A4" s="38" t="s">
        <v>445</v>
      </c>
      <c r="B4" s="46">
        <v>1357086.2778157999</v>
      </c>
      <c r="D4" s="48" t="s">
        <v>12</v>
      </c>
      <c r="E4" s="49">
        <v>25.344114011760738</v>
      </c>
      <c r="G4" s="33" t="s">
        <v>403</v>
      </c>
      <c r="H4" s="45">
        <v>943.59</v>
      </c>
    </row>
    <row r="5" spans="1:8" ht="16.2" thickBot="1" x14ac:dyDescent="0.35">
      <c r="A5" s="36" t="s">
        <v>443</v>
      </c>
      <c r="B5" s="46">
        <v>2603102.9254043</v>
      </c>
      <c r="D5" s="48" t="s">
        <v>17</v>
      </c>
      <c r="E5" s="49">
        <v>33.028659039981129</v>
      </c>
      <c r="G5" s="33" t="s">
        <v>395</v>
      </c>
      <c r="H5" s="45">
        <v>960.4</v>
      </c>
    </row>
    <row r="6" spans="1:8" ht="16.2" thickBot="1" x14ac:dyDescent="0.35">
      <c r="A6" s="38" t="s">
        <v>444</v>
      </c>
      <c r="B6" s="46">
        <v>1346028.9697205001</v>
      </c>
      <c r="D6" s="48" t="s">
        <v>19</v>
      </c>
      <c r="E6" s="49">
        <v>89.460926895481876</v>
      </c>
      <c r="G6" s="33" t="s">
        <v>393</v>
      </c>
      <c r="H6" s="45">
        <v>958.01</v>
      </c>
    </row>
    <row r="7" spans="1:8" ht="16.2" thickBot="1" x14ac:dyDescent="0.35">
      <c r="A7" s="38" t="s">
        <v>445</v>
      </c>
      <c r="B7" s="46">
        <v>1257073.9556837999</v>
      </c>
      <c r="D7" s="50" t="s">
        <v>441</v>
      </c>
      <c r="E7" s="51">
        <v>216.93017978240607</v>
      </c>
      <c r="G7" s="33" t="s">
        <v>331</v>
      </c>
      <c r="H7" s="45">
        <v>951.35</v>
      </c>
    </row>
    <row r="8" spans="1:8" x14ac:dyDescent="0.3">
      <c r="A8" s="33" t="s">
        <v>441</v>
      </c>
      <c r="B8" s="45">
        <v>5216392.0668669995</v>
      </c>
      <c r="G8" s="33" t="s">
        <v>271</v>
      </c>
      <c r="H8" s="45">
        <v>991.03</v>
      </c>
    </row>
    <row r="9" spans="1:8" x14ac:dyDescent="0.3">
      <c r="G9" s="33" t="s">
        <v>249</v>
      </c>
      <c r="H9" s="45">
        <v>986.62</v>
      </c>
    </row>
    <row r="10" spans="1:8" x14ac:dyDescent="0.3">
      <c r="G10" s="33" t="s">
        <v>245</v>
      </c>
      <c r="H10" s="45">
        <v>932.3</v>
      </c>
    </row>
    <row r="11" spans="1:8" x14ac:dyDescent="0.3">
      <c r="A11" s="32" t="s">
        <v>440</v>
      </c>
      <c r="B11" t="s">
        <v>447</v>
      </c>
      <c r="G11" s="33" t="s">
        <v>227</v>
      </c>
      <c r="H11" s="45">
        <v>959.2</v>
      </c>
    </row>
    <row r="12" spans="1:8" ht="15" thickBot="1" x14ac:dyDescent="0.35">
      <c r="A12" s="36" t="s">
        <v>30</v>
      </c>
      <c r="B12" s="37">
        <v>1361113.3158292999</v>
      </c>
      <c r="G12" s="33" t="s">
        <v>441</v>
      </c>
      <c r="H12" s="45">
        <v>9636.7800000000007</v>
      </c>
    </row>
    <row r="13" spans="1:8" ht="15" thickBot="1" x14ac:dyDescent="0.35">
      <c r="A13" s="36" t="s">
        <v>7</v>
      </c>
      <c r="B13" s="37">
        <v>946514.48503820004</v>
      </c>
    </row>
    <row r="14" spans="1:8" ht="15" thickBot="1" x14ac:dyDescent="0.35">
      <c r="A14" s="36" t="s">
        <v>12</v>
      </c>
      <c r="B14" s="37">
        <v>816074.60924589995</v>
      </c>
    </row>
    <row r="15" spans="1:8" ht="15" thickBot="1" x14ac:dyDescent="0.35">
      <c r="A15" s="36" t="s">
        <v>17</v>
      </c>
      <c r="B15" s="37">
        <v>964689.58790670009</v>
      </c>
    </row>
    <row r="16" spans="1:8" ht="15" thickBot="1" x14ac:dyDescent="0.35">
      <c r="A16" s="36" t="s">
        <v>19</v>
      </c>
      <c r="B16" s="37">
        <v>1128000.0688469</v>
      </c>
    </row>
    <row r="17" spans="1:4" x14ac:dyDescent="0.3">
      <c r="A17" s="33" t="s">
        <v>441</v>
      </c>
      <c r="B17">
        <v>5216392.0668669995</v>
      </c>
    </row>
    <row r="20" spans="1:4" x14ac:dyDescent="0.3">
      <c r="A20" s="32" t="s">
        <v>440</v>
      </c>
      <c r="B20" t="s">
        <v>448</v>
      </c>
      <c r="C20" t="s">
        <v>449</v>
      </c>
      <c r="D20" t="s">
        <v>450</v>
      </c>
    </row>
    <row r="21" spans="1:4" ht="15" thickBot="1" x14ac:dyDescent="0.35">
      <c r="A21" s="35" t="s">
        <v>30</v>
      </c>
      <c r="B21" s="35">
        <v>409046.20701419999</v>
      </c>
      <c r="C21" s="35">
        <v>511555.97418989998</v>
      </c>
      <c r="D21" s="35">
        <v>440511.13462519995</v>
      </c>
    </row>
    <row r="22" spans="1:4" ht="15" thickBot="1" x14ac:dyDescent="0.35">
      <c r="A22" s="35" t="s">
        <v>7</v>
      </c>
      <c r="B22" s="35">
        <v>317426.22044419998</v>
      </c>
      <c r="C22" s="35">
        <v>361846.7891919</v>
      </c>
      <c r="D22" s="35">
        <v>267241.47540210001</v>
      </c>
    </row>
    <row r="23" spans="1:4" ht="15" thickBot="1" x14ac:dyDescent="0.35">
      <c r="A23" s="35" t="s">
        <v>12</v>
      </c>
      <c r="B23" s="35">
        <v>292290.34241789998</v>
      </c>
      <c r="C23" s="35">
        <v>232865.03747720001</v>
      </c>
      <c r="D23" s="35">
        <v>290919.22935080004</v>
      </c>
    </row>
    <row r="24" spans="1:4" ht="15" thickBot="1" x14ac:dyDescent="0.35">
      <c r="A24" s="35" t="s">
        <v>17</v>
      </c>
      <c r="B24" s="35">
        <v>302079.15931210003</v>
      </c>
      <c r="C24" s="35">
        <v>311467.23013469996</v>
      </c>
      <c r="D24" s="35">
        <v>351143.19845989998</v>
      </c>
    </row>
    <row r="25" spans="1:4" ht="15" thickBot="1" x14ac:dyDescent="0.35">
      <c r="A25" s="35" t="s">
        <v>19</v>
      </c>
      <c r="B25" s="35">
        <v>389204.06101120007</v>
      </c>
      <c r="C25" s="35">
        <v>378060.20447429997</v>
      </c>
      <c r="D25" s="35">
        <v>360735.80336140003</v>
      </c>
    </row>
    <row r="26" spans="1:4" x14ac:dyDescent="0.3">
      <c r="A26" s="33" t="s">
        <v>441</v>
      </c>
      <c r="B26">
        <v>1710045.9901996001</v>
      </c>
      <c r="C26">
        <v>1795795.2354679997</v>
      </c>
      <c r="D26">
        <v>1710550.8411993999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D866-2286-43A1-9E46-78CC2383604D}">
  <dimension ref="D1:AF15"/>
  <sheetViews>
    <sheetView zoomScale="48" zoomScaleNormal="70" workbookViewId="0">
      <selection activeCell="AF15" sqref="AF15"/>
    </sheetView>
  </sheetViews>
  <sheetFormatPr defaultRowHeight="14.4" x14ac:dyDescent="0.3"/>
  <cols>
    <col min="4" max="4" width="28" bestFit="1" customWidth="1"/>
    <col min="12" max="12" width="23.6640625" bestFit="1" customWidth="1"/>
    <col min="18" max="18" width="22.88671875" bestFit="1" customWidth="1"/>
    <col min="19" max="19" width="28" bestFit="1" customWidth="1"/>
    <col min="20" max="20" width="16.5546875" bestFit="1" customWidth="1"/>
    <col min="23" max="23" width="15.109375" bestFit="1" customWidth="1"/>
  </cols>
  <sheetData>
    <row r="1" spans="4:32" ht="23.4" x14ac:dyDescent="0.45">
      <c r="R1" s="40"/>
      <c r="T1" s="40"/>
    </row>
    <row r="14" spans="4:32" ht="23.4" x14ac:dyDescent="0.45">
      <c r="D14" s="39"/>
      <c r="L14" s="40"/>
      <c r="R14" s="40"/>
      <c r="S14" s="40"/>
    </row>
    <row r="15" spans="4:32" ht="23.4" x14ac:dyDescent="0.45">
      <c r="D15" s="44">
        <f>AVERAGE(Table7[[#All],[Total Emissions]])</f>
        <v>260819.60334334997</v>
      </c>
      <c r="L15" s="43">
        <f>SUM(Table7[[#All],[Total Emissions]])</f>
        <v>5216392.0668669995</v>
      </c>
      <c r="R15" s="42" t="str">
        <f>INDEX(Table7[Facility Name], MATCH(MAX(Table7[Total Emissions]), Table7[Total Emissions], 0))</f>
        <v>Adani Green</v>
      </c>
      <c r="W15" s="40" t="str">
        <f>INDEX(Table7[Facility Name],MATCH(MAX(Table7[Energy Efficiency]),Table7[Energy Efficiency],0))</f>
        <v>Tata Steel</v>
      </c>
      <c r="AF15" s="40" t="str">
        <f>INDEX(Table3[Supplier ID], MATCH(MAX(Table3[Estimated Carbon Footprint (tons CO₂e)]),Table3[Estimated Carbon Footprint (tons CO₂e)],0))</f>
        <v>S093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Raw_Emission_Data</vt:lpstr>
      <vt:lpstr>Raw_Operational_Data</vt:lpstr>
      <vt:lpstr>Raw_Supplier_Data</vt:lpstr>
      <vt:lpstr>Benchmarks</vt:lpstr>
      <vt:lpstr>Clean_Data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Kaushik</dc:creator>
  <cp:lastModifiedBy>Jai Kaushik</cp:lastModifiedBy>
  <dcterms:created xsi:type="dcterms:W3CDTF">2026-05-05T14:06:43Z</dcterms:created>
  <dcterms:modified xsi:type="dcterms:W3CDTF">2026-05-06T10:10:03Z</dcterms:modified>
</cp:coreProperties>
</file>